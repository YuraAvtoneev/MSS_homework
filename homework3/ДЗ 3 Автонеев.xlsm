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sers\MAURER\Documents\Юра\Учёба\5 семестр\МСС\"/>
    </mc:Choice>
  </mc:AlternateContent>
  <xr:revisionPtr revIDLastSave="0" documentId="13_ncr:1_{015F01A8-650B-4884-ADD6-FCB28DC33786}" xr6:coauthVersionLast="37" xr6:coauthVersionMax="37" xr10:uidLastSave="{00000000-0000-0000-0000-000000000000}"/>
  <bookViews>
    <workbookView xWindow="0" yWindow="0" windowWidth="23040" windowHeight="8484" activeTab="1" xr2:uid="{0E29615E-13E7-4826-8973-1CFE6CC23574}"/>
  </bookViews>
  <sheets>
    <sheet name="Явная схема" sheetId="2" r:id="rId1"/>
    <sheet name="Неявная схема" sheetId="1" r:id="rId2"/>
  </sheets>
  <externalReferences>
    <externalReference r:id="rId3"/>
  </externalReferenc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5" i="1"/>
  <c r="F6" i="2" l="1"/>
  <c r="AJ13" i="2"/>
  <c r="F13" i="2"/>
  <c r="C4" i="2"/>
  <c r="AH15" i="2" l="1"/>
  <c r="AD15" i="2"/>
  <c r="Z15" i="2"/>
  <c r="V15" i="2"/>
  <c r="R15" i="2"/>
  <c r="N15" i="2"/>
  <c r="J15" i="2"/>
  <c r="AG15" i="2"/>
  <c r="AC15" i="2"/>
  <c r="Y15" i="2"/>
  <c r="U15" i="2"/>
  <c r="Q15" i="2"/>
  <c r="M15" i="2"/>
  <c r="I15" i="2"/>
  <c r="AF15" i="2"/>
  <c r="AB15" i="2"/>
  <c r="X15" i="2"/>
  <c r="T15" i="2"/>
  <c r="P15" i="2"/>
  <c r="L15" i="2"/>
  <c r="H15" i="2"/>
  <c r="AI15" i="2"/>
  <c r="AE15" i="2"/>
  <c r="AA15" i="2"/>
  <c r="W15" i="2"/>
  <c r="S15" i="2"/>
  <c r="O15" i="2"/>
  <c r="K15" i="2"/>
  <c r="G1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J15" i="1" l="1"/>
  <c r="G18" i="1"/>
  <c r="C16" i="1"/>
  <c r="G20" i="1"/>
  <c r="G19" i="1" s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F19" i="1"/>
  <c r="H18" i="1" l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5" i="1" s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C17" i="1"/>
  <c r="C15" i="1"/>
  <c r="AJ13" i="1"/>
  <c r="C4" i="1"/>
  <c r="AI16" i="1" s="1"/>
  <c r="F20" i="1" l="1"/>
  <c r="L16" i="1"/>
  <c r="X16" i="1"/>
  <c r="I16" i="1"/>
  <c r="M16" i="1"/>
  <c r="Q16" i="1"/>
  <c r="U16" i="1"/>
  <c r="Y16" i="1"/>
  <c r="AC16" i="1"/>
  <c r="AG16" i="1"/>
  <c r="G16" i="1"/>
  <c r="H16" i="1"/>
  <c r="T16" i="1"/>
  <c r="AF16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J16" i="1"/>
  <c r="N16" i="1"/>
  <c r="R16" i="1"/>
  <c r="V16" i="1"/>
  <c r="Z16" i="1"/>
  <c r="AD16" i="1"/>
  <c r="AH16" i="1"/>
  <c r="P16" i="1"/>
  <c r="AB16" i="1"/>
  <c r="K16" i="1"/>
  <c r="O16" i="1"/>
  <c r="S16" i="1"/>
  <c r="W16" i="1"/>
  <c r="AA16" i="1"/>
  <c r="AE16" i="1"/>
  <c r="G15" i="1" l="1"/>
</calcChain>
</file>

<file path=xl/sharedStrings.xml><?xml version="1.0" encoding="utf-8"?>
<sst xmlns="http://schemas.openxmlformats.org/spreadsheetml/2006/main" count="31" uniqueCount="19">
  <si>
    <t>L</t>
  </si>
  <si>
    <t>dx</t>
  </si>
  <si>
    <t>dt</t>
  </si>
  <si>
    <t>t</t>
  </si>
  <si>
    <t>Cp</t>
  </si>
  <si>
    <t>ro</t>
  </si>
  <si>
    <t>lambda</t>
  </si>
  <si>
    <t>q_start</t>
  </si>
  <si>
    <t>T_end</t>
  </si>
  <si>
    <t>T</t>
  </si>
  <si>
    <t>T_iter</t>
  </si>
  <si>
    <t>q</t>
  </si>
  <si>
    <t>A</t>
  </si>
  <si>
    <t>B</t>
  </si>
  <si>
    <t>C</t>
  </si>
  <si>
    <t>alfa</t>
  </si>
  <si>
    <t>betta</t>
  </si>
  <si>
    <t>F</t>
  </si>
  <si>
    <t>T_start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</si>
</sst>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Border="1"/>
    <xf numFmtId="165" fontId="0" fillId="0" borderId="2" xfId="0" applyNumberFormat="1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'[1]Усл. 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'[1]Усл.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82-4E3A-98B3-5BE29D690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'[1]Усл. 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'[1]Усл.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72-4C6B-B4D9-D1FC25913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Явная схема</c:v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'[1]Усл. 1-го рода'!$F$12:$AJ$12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'[1]Усл.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BD-4816-931C-A4B2036C34A9}"/>
            </c:ext>
          </c:extLst>
        </c:ser>
        <c:ser>
          <c:idx val="1"/>
          <c:order val="1"/>
          <c:tx>
            <c:v>Неявная схема</c:v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280.23994146657276</c:v>
                </c:pt>
                <c:pt idx="2">
                  <c:v>260.64576166718496</c:v>
                </c:pt>
                <c:pt idx="3">
                  <c:v>241.38371286782609</c:v>
                </c:pt>
                <c:pt idx="4">
                  <c:v>222.61181727253506</c:v>
                </c:pt>
                <c:pt idx="5">
                  <c:v>204.47975371494709</c:v>
                </c:pt>
                <c:pt idx="6">
                  <c:v>187.1260266311221</c:v>
                </c:pt>
                <c:pt idx="7">
                  <c:v>170.67586121902553</c:v>
                </c:pt>
                <c:pt idx="8">
                  <c:v>155.2395022844419</c:v>
                </c:pt>
                <c:pt idx="9">
                  <c:v>140.9109470823083</c:v>
                </c:pt>
                <c:pt idx="10">
                  <c:v>127.767121186521</c:v>
                </c:pt>
                <c:pt idx="11">
                  <c:v>115.86748601794183</c:v>
                </c:pt>
                <c:pt idx="12">
                  <c:v>105.2540484235025</c:v>
                </c:pt>
                <c:pt idx="13">
                  <c:v>95.951727691364368</c:v>
                </c:pt>
                <c:pt idx="14">
                  <c:v>87.96902436361438</c:v>
                </c:pt>
                <c:pt idx="15">
                  <c:v>81.298928572696212</c:v>
                </c:pt>
                <c:pt idx="16">
                  <c:v>75.92000342068873</c:v>
                </c:pt>
                <c:pt idx="17">
                  <c:v>71.797580838794261</c:v>
                </c:pt>
                <c:pt idx="18">
                  <c:v>68.885012812318706</c:v>
                </c:pt>
                <c:pt idx="19">
                  <c:v>67.124929018639008</c:v>
                </c:pt>
                <c:pt idx="20">
                  <c:v>66.450461855201311</c:v>
                </c:pt>
                <c:pt idx="21">
                  <c:v>66.786410546990624</c:v>
                </c:pt>
                <c:pt idx="22">
                  <c:v>68.050326587017992</c:v>
                </c:pt>
                <c:pt idx="23">
                  <c:v>70.153512380682798</c:v>
                </c:pt>
                <c:pt idx="24">
                  <c:v>73.001933030395037</c:v>
                </c:pt>
                <c:pt idx="25">
                  <c:v>76.49704733682637</c:v>
                </c:pt>
                <c:pt idx="26">
                  <c:v>80.536568177317051</c:v>
                </c:pt>
                <c:pt idx="27">
                  <c:v>85.015164550498099</c:v>
                </c:pt>
                <c:pt idx="28">
                  <c:v>89.825118044175497</c:v>
                </c:pt>
                <c:pt idx="29">
                  <c:v>94.856945727401097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BD-4816-931C-A4B2036C34A9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71762877600746"/>
          <c:y val="0.73065971774020055"/>
          <c:w val="0.19398434281005356"/>
          <c:h val="0.115267200206531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18</xdr:row>
      <xdr:rowOff>0</xdr:rowOff>
    </xdr:from>
    <xdr:to>
      <xdr:col>15</xdr:col>
      <xdr:colOff>30480</xdr:colOff>
      <xdr:row>34</xdr:row>
      <xdr:rowOff>60960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6D6FA32-9A4A-4D58-8E1D-26C68FA83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0.01035</cdr:x>
      <cdr:y>0.01701</cdr:y>
    </cdr:from>
    <cdr:to>
      <cdr:x>0.13025</cdr:x>
      <cdr:y>0.11135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22</xdr:row>
      <xdr:rowOff>0</xdr:rowOff>
    </xdr:from>
    <xdr:to>
      <xdr:col>11</xdr:col>
      <xdr:colOff>449580</xdr:colOff>
      <xdr:row>38</xdr:row>
      <xdr:rowOff>60960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BBF3E84-72AB-40EE-A38C-EF12569CD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434340</xdr:colOff>
      <xdr:row>23</xdr:row>
      <xdr:rowOff>167640</xdr:rowOff>
    </xdr:from>
    <xdr:to>
      <xdr:col>25</xdr:col>
      <xdr:colOff>502920</xdr:colOff>
      <xdr:row>44</xdr:row>
      <xdr:rowOff>45720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0DCA722-C854-4DC8-9E34-8916DF152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0.01035</cdr:x>
      <cdr:y>0.01701</cdr:y>
    </cdr:from>
    <cdr:to>
      <cdr:x>0.13025</cdr:x>
      <cdr:y>0.11135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0.01701</cdr:y>
    </cdr:from>
    <cdr:to>
      <cdr:x>0.1199</cdr:x>
      <cdr:y>0.11135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0" y="63253"/>
              <a:ext cx="739134" cy="3508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0" y="63253"/>
              <a:ext cx="739134" cy="3508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4;&#1047;%202%20&#1040;&#1074;&#1090;&#1086;&#1085;&#1077;&#1077;&#10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сл. 1-го рода"/>
      <sheetName val="Усл. 2-го рода"/>
      <sheetName val="Усл. 3-го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280.34602914679897</v>
          </cell>
          <cell r="H13">
            <v>260.69205829359794</v>
          </cell>
          <cell r="I13">
            <v>241.69187227593491</v>
          </cell>
          <cell r="J13">
            <v>222.69168625827183</v>
          </cell>
          <cell r="K13">
            <v>204.95390631913148</v>
          </cell>
          <cell r="L13">
            <v>187.21612637999107</v>
          </cell>
          <cell r="M13">
            <v>171.26453784334268</v>
          </cell>
          <cell r="N13">
            <v>155.31294930669429</v>
          </cell>
          <cell r="O13">
            <v>141.55671337374599</v>
          </cell>
          <cell r="P13">
            <v>127.80047744079765</v>
          </cell>
          <cell r="Q13">
            <v>116.51671674932982</v>
          </cell>
          <cell r="R13">
            <v>105.23295605786197</v>
          </cell>
          <cell r="S13">
            <v>96.561989352755049</v>
          </cell>
          <cell r="T13">
            <v>87.891022647648128</v>
          </cell>
          <cell r="U13">
            <v>81.842538774051832</v>
          </cell>
          <cell r="V13">
            <v>75.794054900455549</v>
          </cell>
          <cell r="W13">
            <v>72.261187114604226</v>
          </cell>
          <cell r="X13">
            <v>68.728319328752917</v>
          </cell>
          <cell r="Y13">
            <v>67.506108522455037</v>
          </cell>
          <cell r="Z13">
            <v>66.283897716157142</v>
          </cell>
          <cell r="AA13">
            <v>67.088962026000345</v>
          </cell>
          <cell r="AB13">
            <v>67.894026335843549</v>
          </cell>
          <cell r="AC13">
            <v>70.383127200086093</v>
          </cell>
          <cell r="AD13">
            <v>72.872228064328638</v>
          </cell>
          <cell r="AE13">
            <v>76.658491877071754</v>
          </cell>
          <cell r="AF13">
            <v>80.444755689814855</v>
          </cell>
          <cell r="AG13">
            <v>85.111263870845988</v>
          </cell>
          <cell r="AH13">
            <v>89.777772051877108</v>
          </cell>
          <cell r="AI13">
            <v>94.888886025938547</v>
          </cell>
          <cell r="AJ13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299.99998838365582</v>
          </cell>
          <cell r="G13">
            <v>293.33332171698913</v>
          </cell>
          <cell r="H13">
            <v>286.66665508325025</v>
          </cell>
          <cell r="I13">
            <v>279.99998848234577</v>
          </cell>
          <cell r="J13">
            <v>273.33332191408937</v>
          </cell>
          <cell r="K13">
            <v>266.66665537820211</v>
          </cell>
          <cell r="L13">
            <v>259.99998887431309</v>
          </cell>
          <cell r="M13">
            <v>253.33332240196125</v>
          </cell>
          <cell r="N13">
            <v>246.66665596059539</v>
          </cell>
          <cell r="O13">
            <v>239.99998954957718</v>
          </cell>
          <cell r="P13">
            <v>233.33332316818172</v>
          </cell>
          <cell r="Q13">
            <v>226.66665681560056</v>
          </cell>
          <cell r="R13">
            <v>219.99999049094328</v>
          </cell>
          <cell r="S13">
            <v>213.33332419324049</v>
          </cell>
          <cell r="T13">
            <v>206.66665792144624</v>
          </cell>
          <cell r="U13">
            <v>199.9999916744413</v>
          </cell>
          <cell r="V13">
            <v>193.33332545103605</v>
          </cell>
          <cell r="W13">
            <v>186.66665924997403</v>
          </cell>
          <cell r="X13">
            <v>179.99999306993547</v>
          </cell>
          <cell r="Y13">
            <v>173.33332690954086</v>
          </cell>
          <cell r="Z13">
            <v>166.66666076735527</v>
          </cell>
          <cell r="AA13">
            <v>159.99999464189187</v>
          </cell>
          <cell r="AB13">
            <v>153.33332853161659</v>
          </cell>
          <cell r="AC13">
            <v>146.66666243495234</v>
          </cell>
          <cell r="AD13">
            <v>139.99999635028331</v>
          </cell>
          <cell r="AE13">
            <v>133.33333027595984</v>
          </cell>
          <cell r="AF13">
            <v>126.66666421030278</v>
          </cell>
          <cell r="AG13">
            <v>119.99999815160858</v>
          </cell>
          <cell r="AH13">
            <v>113.33333209815386</v>
          </cell>
          <cell r="AI13">
            <v>106.66666604820037</v>
          </cell>
          <cell r="AJ13">
            <v>100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94F7-8B05-49C9-A8FB-10EC6F7168C0}">
  <sheetPr codeName="Лист2"/>
  <dimension ref="B3:AJ15"/>
  <sheetViews>
    <sheetView topLeftCell="A10" workbookViewId="0">
      <selection activeCell="G13" sqref="G13:AI13"/>
    </sheetView>
  </sheetViews>
  <sheetFormatPr defaultRowHeight="14.4" x14ac:dyDescent="0.3"/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f>(C9*C8*(C4)^2)/(2*C10)</f>
        <v>0.4333333333333334</v>
      </c>
    </row>
    <row r="6" spans="2:36" x14ac:dyDescent="0.3">
      <c r="B6" s="3" t="s">
        <v>3</v>
      </c>
      <c r="C6" s="3">
        <v>60</v>
      </c>
      <c r="D6">
        <v>60.233333333333341</v>
      </c>
      <c r="F6">
        <f>C6/C5</f>
        <v>138.46153846153845</v>
      </c>
    </row>
    <row r="7" spans="2:36" x14ac:dyDescent="0.3">
      <c r="B7" s="4"/>
      <c r="C7" s="4"/>
    </row>
    <row r="8" spans="2:36" x14ac:dyDescent="0.3">
      <c r="B8" s="5" t="s">
        <v>4</v>
      </c>
      <c r="C8" s="5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3" t="s">
        <v>6</v>
      </c>
      <c r="C10" s="3">
        <v>46</v>
      </c>
    </row>
    <row r="11" spans="2:36" x14ac:dyDescent="0.3">
      <c r="B11" s="4"/>
      <c r="C11" s="4"/>
      <c r="E11" s="12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5" t="s">
        <v>18</v>
      </c>
      <c r="C12" s="5">
        <v>300</v>
      </c>
      <c r="E12" s="12" t="s">
        <v>0</v>
      </c>
      <c r="F12" s="13">
        <v>0</v>
      </c>
      <c r="G12" s="13">
        <f>F12+$C$4</f>
        <v>3.3333333333333335E-3</v>
      </c>
      <c r="H12" s="13">
        <f t="shared" ref="H12:AJ12" si="0">G12+$C$4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13">
        <f t="shared" si="0"/>
        <v>9.9999999999999936E-2</v>
      </c>
    </row>
    <row r="13" spans="2:36" x14ac:dyDescent="0.3">
      <c r="B13" s="1" t="s">
        <v>8</v>
      </c>
      <c r="C13" s="1">
        <v>100</v>
      </c>
      <c r="E13" s="12" t="s">
        <v>9</v>
      </c>
      <c r="F13" s="14">
        <f>C12</f>
        <v>300</v>
      </c>
      <c r="G13" s="14">
        <v>280.34602914679897</v>
      </c>
      <c r="H13" s="14">
        <v>260.69205829359794</v>
      </c>
      <c r="I13" s="14">
        <v>241.69187227593491</v>
      </c>
      <c r="J13" s="14">
        <v>222.69168625827183</v>
      </c>
      <c r="K13" s="14">
        <v>204.95390631913148</v>
      </c>
      <c r="L13" s="14">
        <v>187.21612637999107</v>
      </c>
      <c r="M13" s="14">
        <v>171.26453784334268</v>
      </c>
      <c r="N13" s="14">
        <v>155.31294930669429</v>
      </c>
      <c r="O13" s="14">
        <v>141.55671337374599</v>
      </c>
      <c r="P13" s="14">
        <v>127.80047744079765</v>
      </c>
      <c r="Q13" s="14">
        <v>116.51671674932982</v>
      </c>
      <c r="R13" s="14">
        <v>105.23295605786197</v>
      </c>
      <c r="S13" s="14">
        <v>96.561989352755049</v>
      </c>
      <c r="T13" s="14">
        <v>87.891022647648128</v>
      </c>
      <c r="U13" s="14">
        <v>81.842538774051832</v>
      </c>
      <c r="V13" s="14">
        <v>75.794054900455549</v>
      </c>
      <c r="W13" s="14">
        <v>72.261187114604226</v>
      </c>
      <c r="X13" s="14">
        <v>68.728319328752917</v>
      </c>
      <c r="Y13" s="14">
        <v>67.506108522455037</v>
      </c>
      <c r="Z13" s="14">
        <v>66.283897716157142</v>
      </c>
      <c r="AA13" s="14">
        <v>67.088962026000345</v>
      </c>
      <c r="AB13" s="14">
        <v>67.894026335843549</v>
      </c>
      <c r="AC13" s="14">
        <v>70.383127200086093</v>
      </c>
      <c r="AD13" s="14">
        <v>72.872228064328638</v>
      </c>
      <c r="AE13" s="14">
        <v>76.658491877071754</v>
      </c>
      <c r="AF13" s="14">
        <v>80.444755689814855</v>
      </c>
      <c r="AG13" s="14">
        <v>85.111263870845988</v>
      </c>
      <c r="AH13" s="14">
        <v>89.777772051877108</v>
      </c>
      <c r="AI13" s="14">
        <v>94.888886025938547</v>
      </c>
      <c r="AJ13" s="14">
        <f>C13</f>
        <v>100</v>
      </c>
    </row>
    <row r="15" spans="2:36" x14ac:dyDescent="0.3">
      <c r="E15" t="s">
        <v>10</v>
      </c>
      <c r="G15">
        <f>G13+(($C$10*$C$5)/($C$9*$C$8))*((H13-2*G13+F13)/($C$4^2))</f>
        <v>280.34602914679897</v>
      </c>
      <c r="H15">
        <f t="shared" ref="H15:AI15" si="1">H13+(($C$10*$C$5)/($C$9*$C$8))*((I13-2*H13+G13)/($C$4^2))</f>
        <v>261.01895071136693</v>
      </c>
      <c r="I15">
        <f t="shared" si="1"/>
        <v>241.69187227593488</v>
      </c>
      <c r="J15">
        <f t="shared" si="1"/>
        <v>223.32288929753321</v>
      </c>
      <c r="K15">
        <f t="shared" si="1"/>
        <v>204.95390631913145</v>
      </c>
      <c r="L15">
        <f t="shared" si="1"/>
        <v>188.10922208123708</v>
      </c>
      <c r="M15">
        <f t="shared" si="1"/>
        <v>171.26453784334268</v>
      </c>
      <c r="N15">
        <f t="shared" si="1"/>
        <v>156.41062560854434</v>
      </c>
      <c r="O15">
        <f t="shared" si="1"/>
        <v>141.55671337374596</v>
      </c>
      <c r="P15">
        <f t="shared" si="1"/>
        <v>129.0367150615379</v>
      </c>
      <c r="Q15">
        <f t="shared" si="1"/>
        <v>116.51671674932982</v>
      </c>
      <c r="R15">
        <f t="shared" si="1"/>
        <v>106.53935305104244</v>
      </c>
      <c r="S15">
        <f t="shared" si="1"/>
        <v>96.561989352755049</v>
      </c>
      <c r="T15">
        <f t="shared" si="1"/>
        <v>89.202264063403447</v>
      </c>
      <c r="U15">
        <f t="shared" si="1"/>
        <v>81.842538774051832</v>
      </c>
      <c r="V15">
        <f t="shared" si="1"/>
        <v>77.051862944328036</v>
      </c>
      <c r="W15">
        <f t="shared" si="1"/>
        <v>72.26118711460424</v>
      </c>
      <c r="X15">
        <f t="shared" si="1"/>
        <v>69.883647818529624</v>
      </c>
      <c r="Y15">
        <f t="shared" si="1"/>
        <v>67.506108522455037</v>
      </c>
      <c r="Z15">
        <f t="shared" si="1"/>
        <v>67.297535274227698</v>
      </c>
      <c r="AA15">
        <f t="shared" si="1"/>
        <v>67.088962026000345</v>
      </c>
      <c r="AB15">
        <f t="shared" si="1"/>
        <v>68.736044613043219</v>
      </c>
      <c r="AC15">
        <f t="shared" si="1"/>
        <v>70.383127200086093</v>
      </c>
      <c r="AD15">
        <f t="shared" si="1"/>
        <v>73.520809538578931</v>
      </c>
      <c r="AE15">
        <f t="shared" si="1"/>
        <v>76.658491877071754</v>
      </c>
      <c r="AF15">
        <f t="shared" si="1"/>
        <v>80.884877873958871</v>
      </c>
      <c r="AG15">
        <f t="shared" si="1"/>
        <v>85.111263870845988</v>
      </c>
      <c r="AH15">
        <f t="shared" si="1"/>
        <v>90.000074948392268</v>
      </c>
      <c r="AI15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C9999-603A-40E1-926A-226631F94D4E}">
  <sheetPr codeName="Лист1"/>
  <dimension ref="B3:AJ20"/>
  <sheetViews>
    <sheetView tabSelected="1" workbookViewId="0">
      <selection activeCell="Z35" sqref="Z35"/>
    </sheetView>
  </sheetViews>
  <sheetFormatPr defaultRowHeight="14.4" x14ac:dyDescent="0.3"/>
  <cols>
    <col min="6" max="6" width="11.664062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2">
        <f>C3/30</f>
        <v>3.3333333333333335E-3</v>
      </c>
    </row>
    <row r="5" spans="2:36" x14ac:dyDescent="0.3">
      <c r="B5" s="1" t="s">
        <v>2</v>
      </c>
      <c r="C5" s="6">
        <f>(C9*C8*(C4)^2)/(2*C10)</f>
        <v>0.4333333333333334</v>
      </c>
    </row>
    <row r="6" spans="2:36" x14ac:dyDescent="0.3">
      <c r="B6" s="3" t="s">
        <v>3</v>
      </c>
      <c r="C6" s="3">
        <v>60</v>
      </c>
      <c r="D6">
        <v>60.233333333333341</v>
      </c>
    </row>
    <row r="7" spans="2:36" x14ac:dyDescent="0.3">
      <c r="B7" s="4"/>
      <c r="C7" s="4"/>
    </row>
    <row r="8" spans="2:36" x14ac:dyDescent="0.3">
      <c r="B8" s="5" t="s">
        <v>4</v>
      </c>
      <c r="C8" s="5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3" t="s">
        <v>6</v>
      </c>
      <c r="C10" s="3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5" t="s">
        <v>7</v>
      </c>
      <c r="C12" s="5">
        <v>92000</v>
      </c>
      <c r="E12" t="s">
        <v>0</v>
      </c>
      <c r="F12" s="6">
        <v>0</v>
      </c>
      <c r="G12" s="7">
        <f>F12+$C$4</f>
        <v>3.3333333333333335E-3</v>
      </c>
      <c r="H12" s="7">
        <f t="shared" ref="H12:AJ12" si="0">G12+$C$4</f>
        <v>6.6666666666666671E-3</v>
      </c>
      <c r="I12" s="7">
        <f t="shared" si="0"/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2:36" x14ac:dyDescent="0.3">
      <c r="B13" s="1" t="s">
        <v>8</v>
      </c>
      <c r="C13" s="1">
        <v>100</v>
      </c>
      <c r="E13" t="s">
        <v>9</v>
      </c>
      <c r="F13" s="10">
        <v>300</v>
      </c>
      <c r="G13" s="8">
        <v>280.23994146657276</v>
      </c>
      <c r="H13" s="8">
        <v>260.64576166718496</v>
      </c>
      <c r="I13" s="8">
        <v>241.38371286782609</v>
      </c>
      <c r="J13" s="8">
        <v>222.61181727253506</v>
      </c>
      <c r="K13" s="8">
        <v>204.47975371494709</v>
      </c>
      <c r="L13" s="8">
        <v>187.1260266311221</v>
      </c>
      <c r="M13" s="8">
        <v>170.67586121902553</v>
      </c>
      <c r="N13" s="8">
        <v>155.2395022844419</v>
      </c>
      <c r="O13" s="8">
        <v>140.9109470823083</v>
      </c>
      <c r="P13" s="8">
        <v>127.767121186521</v>
      </c>
      <c r="Q13" s="8">
        <v>115.86748601794183</v>
      </c>
      <c r="R13" s="8">
        <v>105.2540484235025</v>
      </c>
      <c r="S13" s="8">
        <v>95.951727691364368</v>
      </c>
      <c r="T13" s="8">
        <v>87.96902436361438</v>
      </c>
      <c r="U13" s="8">
        <v>81.298928572696212</v>
      </c>
      <c r="V13" s="8">
        <v>75.92000342068873</v>
      </c>
      <c r="W13" s="8">
        <v>71.797580838794261</v>
      </c>
      <c r="X13" s="8">
        <v>68.885012812318706</v>
      </c>
      <c r="Y13" s="8">
        <v>67.124929018639008</v>
      </c>
      <c r="Z13" s="8">
        <v>66.450461855201311</v>
      </c>
      <c r="AA13" s="8">
        <v>66.786410546990624</v>
      </c>
      <c r="AB13" s="8">
        <v>68.050326587017992</v>
      </c>
      <c r="AC13" s="8">
        <v>70.153512380682798</v>
      </c>
      <c r="AD13" s="8">
        <v>73.001933030395037</v>
      </c>
      <c r="AE13" s="8">
        <v>76.49704733682637</v>
      </c>
      <c r="AF13" s="8">
        <v>80.536568177317051</v>
      </c>
      <c r="AG13" s="8">
        <v>85.015164550498099</v>
      </c>
      <c r="AH13" s="8">
        <v>89.825118044175497</v>
      </c>
      <c r="AI13" s="8">
        <v>94.856945727401097</v>
      </c>
      <c r="AJ13" s="8">
        <f>C13</f>
        <v>100</v>
      </c>
    </row>
    <row r="15" spans="2:36" x14ac:dyDescent="0.3">
      <c r="B15" s="9" t="s">
        <v>12</v>
      </c>
      <c r="C15">
        <f>C10/(C4^2)</f>
        <v>4139999.9999999991</v>
      </c>
      <c r="E15" t="s">
        <v>10</v>
      </c>
      <c r="G15">
        <f>G13+(($C$10*$C$5)/($C$9*$C$8))*((H13-2*G13+F13)/($C$4^2))</f>
        <v>280.32288083359248</v>
      </c>
      <c r="H15">
        <f t="shared" ref="H15:AH15" si="1">H18*I15+H19</f>
        <v>260.81017033212908</v>
      </c>
      <c r="I15">
        <f t="shared" si="1"/>
        <v>241.6266446778277</v>
      </c>
      <c r="J15">
        <f t="shared" si="1"/>
        <v>222.92898264352951</v>
      </c>
      <c r="K15">
        <f t="shared" si="1"/>
        <v>204.86565135122021</v>
      </c>
      <c r="L15">
        <f t="shared" si="1"/>
        <v>187.57411533145714</v>
      </c>
      <c r="M15">
        <f t="shared" si="1"/>
        <v>171.17875671236405</v>
      </c>
      <c r="N15">
        <f t="shared" si="1"/>
        <v>155.78918907994793</v>
      </c>
      <c r="O15">
        <f t="shared" si="1"/>
        <v>141.49899503854377</v>
      </c>
      <c r="P15">
        <f t="shared" si="1"/>
        <v>128.38489690961052</v>
      </c>
      <c r="Q15">
        <f t="shared" si="1"/>
        <v>116.50635022685627</v>
      </c>
      <c r="R15">
        <f t="shared" si="1"/>
        <v>105.90553196193088</v>
      </c>
      <c r="S15">
        <f t="shared" si="1"/>
        <v>96.607680773862242</v>
      </c>
      <c r="T15">
        <f t="shared" si="1"/>
        <v>88.621735750789327</v>
      </c>
      <c r="U15">
        <f t="shared" si="1"/>
        <v>81.941213502066276</v>
      </c>
      <c r="V15">
        <f t="shared" si="1"/>
        <v>76.545261112083352</v>
      </c>
      <c r="W15">
        <f t="shared" si="1"/>
        <v>72.399824104889646</v>
      </c>
      <c r="X15">
        <f t="shared" si="1"/>
        <v>69.458873629886682</v>
      </c>
      <c r="Y15">
        <f t="shared" si="1"/>
        <v>67.665644790019641</v>
      </c>
      <c r="Z15">
        <f t="shared" si="1"/>
        <v>66.953847492913866</v>
      </c>
      <c r="AA15">
        <f t="shared" si="1"/>
        <v>67.248821471233171</v>
      </c>
      <c r="AB15">
        <f t="shared" si="1"/>
        <v>68.468617298037543</v>
      </c>
      <c r="AC15">
        <f t="shared" si="1"/>
        <v>70.524994546880976</v>
      </c>
      <c r="AD15">
        <f t="shared" si="1"/>
        <v>73.324336128120763</v>
      </c>
      <c r="AE15">
        <f t="shared" si="1"/>
        <v>76.768483904811958</v>
      </c>
      <c r="AF15">
        <f t="shared" si="1"/>
        <v>80.755504817474304</v>
      </c>
      <c r="AG15">
        <f t="shared" si="1"/>
        <v>85.18039901045114</v>
      </c>
      <c r="AH15">
        <f t="shared" si="1"/>
        <v>89.935762123334072</v>
      </c>
      <c r="AI15">
        <f>AI18*AJ15+AI19</f>
        <v>94.91241339453407</v>
      </c>
      <c r="AJ15">
        <f>AJ13</f>
        <v>100</v>
      </c>
    </row>
    <row r="16" spans="2:36" x14ac:dyDescent="0.3">
      <c r="B16" s="9" t="s">
        <v>13</v>
      </c>
      <c r="C16">
        <f>2*(C10)/(C4^2)+(C8*C9)/C5</f>
        <v>16559999.999999996</v>
      </c>
      <c r="E16" t="s">
        <v>11</v>
      </c>
      <c r="F16">
        <v>92000</v>
      </c>
      <c r="G16">
        <f>-$C$10*((G13-F13)/$C$4)</f>
        <v>272688.80776129593</v>
      </c>
      <c r="H16">
        <f t="shared" ref="H16:AI16" si="2">-$C$10*((H13-G13)/$C$4)</f>
        <v>270399.68123155169</v>
      </c>
      <c r="I16">
        <f t="shared" si="2"/>
        <v>265816.27343115234</v>
      </c>
      <c r="J16">
        <f t="shared" si="2"/>
        <v>259052.15921501615</v>
      </c>
      <c r="K16">
        <f t="shared" si="2"/>
        <v>250222.47709471398</v>
      </c>
      <c r="L16">
        <f t="shared" si="2"/>
        <v>239481.43375678489</v>
      </c>
      <c r="M16">
        <f t="shared" si="2"/>
        <v>227012.28268693262</v>
      </c>
      <c r="N16">
        <f t="shared" si="2"/>
        <v>213021.75329725421</v>
      </c>
      <c r="O16">
        <f t="shared" si="2"/>
        <v>197734.06178944366</v>
      </c>
      <c r="P16">
        <f t="shared" si="2"/>
        <v>181384.79736186477</v>
      </c>
      <c r="Q16">
        <f t="shared" si="2"/>
        <v>164214.9653263925</v>
      </c>
      <c r="R16">
        <f t="shared" si="2"/>
        <v>146465.43880326278</v>
      </c>
      <c r="S16">
        <f t="shared" si="2"/>
        <v>128372.02610350617</v>
      </c>
      <c r="T16">
        <f t="shared" si="2"/>
        <v>110161.30592294982</v>
      </c>
      <c r="U16">
        <f t="shared" si="2"/>
        <v>92047.321914670712</v>
      </c>
      <c r="V16">
        <f t="shared" si="2"/>
        <v>74229.167097703248</v>
      </c>
      <c r="W16">
        <f t="shared" si="2"/>
        <v>56889.431630143663</v>
      </c>
      <c r="X16">
        <f t="shared" si="2"/>
        <v>40193.438765362655</v>
      </c>
      <c r="Y16">
        <f t="shared" si="2"/>
        <v>24289.156352779828</v>
      </c>
      <c r="Z16">
        <f t="shared" si="2"/>
        <v>9307.64685544022</v>
      </c>
      <c r="AA16">
        <f t="shared" si="2"/>
        <v>-4636.0919466925079</v>
      </c>
      <c r="AB16">
        <f t="shared" si="2"/>
        <v>-17442.041352377681</v>
      </c>
      <c r="AC16">
        <f t="shared" si="2"/>
        <v>-29023.963952574333</v>
      </c>
      <c r="AD16">
        <f t="shared" si="2"/>
        <v>-39308.20496602889</v>
      </c>
      <c r="AE16">
        <f t="shared" si="2"/>
        <v>-48232.577428752396</v>
      </c>
      <c r="AF16">
        <f t="shared" si="2"/>
        <v>-55745.387598771398</v>
      </c>
      <c r="AG16">
        <f t="shared" si="2"/>
        <v>-61804.629949898466</v>
      </c>
      <c r="AH16">
        <f t="shared" si="2"/>
        <v>-66377.358212748077</v>
      </c>
      <c r="AI16">
        <f t="shared" si="2"/>
        <v>-69439.222028513279</v>
      </c>
    </row>
    <row r="17" spans="2:35" x14ac:dyDescent="0.3">
      <c r="B17" s="9" t="s">
        <v>14</v>
      </c>
      <c r="C17">
        <f>C15</f>
        <v>4139999.9999999991</v>
      </c>
    </row>
    <row r="18" spans="2:35" x14ac:dyDescent="0.3">
      <c r="E18" t="s">
        <v>15</v>
      </c>
      <c r="F18">
        <v>0</v>
      </c>
      <c r="G18">
        <f>$C$15/($C$16-$C$17*F18)</f>
        <v>0.25</v>
      </c>
      <c r="H18">
        <f t="shared" ref="H18:AI18" si="3">$C$15/($C$16-$C$17*G18)</f>
        <v>0.26666666666666666</v>
      </c>
      <c r="I18">
        <f t="shared" si="3"/>
        <v>0.26785714285714285</v>
      </c>
      <c r="J18">
        <f t="shared" si="3"/>
        <v>0.26794258373205743</v>
      </c>
      <c r="K18">
        <f t="shared" si="3"/>
        <v>0.26794871794871794</v>
      </c>
      <c r="L18">
        <f t="shared" si="3"/>
        <v>0.26794915836482308</v>
      </c>
      <c r="M18">
        <f t="shared" si="3"/>
        <v>0.26794918998527245</v>
      </c>
      <c r="N18">
        <f t="shared" si="3"/>
        <v>0.26794919225551855</v>
      </c>
      <c r="O18">
        <f t="shared" si="3"/>
        <v>0.26794919241851489</v>
      </c>
      <c r="P18">
        <f t="shared" si="3"/>
        <v>0.26794919243021753</v>
      </c>
      <c r="Q18">
        <f t="shared" si="3"/>
        <v>0.26794919243105775</v>
      </c>
      <c r="R18">
        <f t="shared" si="3"/>
        <v>0.26794919243111803</v>
      </c>
      <c r="S18">
        <f t="shared" si="3"/>
        <v>0.26794919243112236</v>
      </c>
      <c r="T18">
        <f t="shared" si="3"/>
        <v>0.2679491924311227</v>
      </c>
      <c r="U18">
        <f t="shared" si="3"/>
        <v>0.2679491924311227</v>
      </c>
      <c r="V18">
        <f t="shared" si="3"/>
        <v>0.2679491924311227</v>
      </c>
      <c r="W18">
        <f t="shared" si="3"/>
        <v>0.2679491924311227</v>
      </c>
      <c r="X18">
        <f t="shared" si="3"/>
        <v>0.2679491924311227</v>
      </c>
      <c r="Y18">
        <f t="shared" si="3"/>
        <v>0.2679491924311227</v>
      </c>
      <c r="Z18">
        <f t="shared" si="3"/>
        <v>0.2679491924311227</v>
      </c>
      <c r="AA18">
        <f t="shared" si="3"/>
        <v>0.2679491924311227</v>
      </c>
      <c r="AB18">
        <f t="shared" si="3"/>
        <v>0.2679491924311227</v>
      </c>
      <c r="AC18">
        <f t="shared" si="3"/>
        <v>0.2679491924311227</v>
      </c>
      <c r="AD18">
        <f t="shared" si="3"/>
        <v>0.2679491924311227</v>
      </c>
      <c r="AE18">
        <f t="shared" si="3"/>
        <v>0.2679491924311227</v>
      </c>
      <c r="AF18">
        <f t="shared" si="3"/>
        <v>0.2679491924311227</v>
      </c>
      <c r="AG18">
        <f t="shared" si="3"/>
        <v>0.2679491924311227</v>
      </c>
      <c r="AH18">
        <f t="shared" si="3"/>
        <v>0.2679491924311227</v>
      </c>
      <c r="AI18">
        <f t="shared" si="3"/>
        <v>0.2679491924311227</v>
      </c>
    </row>
    <row r="19" spans="2:35" x14ac:dyDescent="0.3">
      <c r="E19" t="s">
        <v>16</v>
      </c>
      <c r="F19" s="11">
        <f>F13</f>
        <v>300</v>
      </c>
      <c r="G19">
        <f>(F19*$C$17-G20)/($C$16-$C$17*F18)</f>
        <v>215.11997073328638</v>
      </c>
      <c r="H19">
        <f t="shared" ref="H19:AI19" si="4">(G19*$C$17-H20)/($C$16-$C$17*G18)</f>
        <v>196.37639841804167</v>
      </c>
      <c r="I19">
        <f t="shared" si="4"/>
        <v>181.91352432688231</v>
      </c>
      <c r="J19">
        <f t="shared" si="4"/>
        <v>168.03675070253271</v>
      </c>
      <c r="K19">
        <f t="shared" si="4"/>
        <v>154.60540762779132</v>
      </c>
      <c r="L19">
        <f t="shared" si="4"/>
        <v>141.70691154044238</v>
      </c>
      <c r="M19">
        <f t="shared" si="4"/>
        <v>129.43516968992955</v>
      </c>
      <c r="N19">
        <f t="shared" si="4"/>
        <v>117.87464765440249</v>
      </c>
      <c r="O19">
        <f t="shared" si="4"/>
        <v>107.09836559287935</v>
      </c>
      <c r="P19">
        <f t="shared" si="4"/>
        <v>97.167114453332303</v>
      </c>
      <c r="Q19">
        <f t="shared" si="4"/>
        <v>88.129048463675318</v>
      </c>
      <c r="R19">
        <f t="shared" si="4"/>
        <v>80.019581915931241</v>
      </c>
      <c r="S19">
        <f t="shared" si="4"/>
        <v>72.861558247593919</v>
      </c>
      <c r="T19">
        <f t="shared" si="4"/>
        <v>66.665653766084461</v>
      </c>
      <c r="U19">
        <f t="shared" si="4"/>
        <v>61.430972602654123</v>
      </c>
      <c r="V19">
        <f t="shared" si="4"/>
        <v>57.145786711022843</v>
      </c>
      <c r="W19">
        <f t="shared" si="4"/>
        <v>53.788375008586108</v>
      </c>
      <c r="X19">
        <f t="shared" si="4"/>
        <v>51.32791875306971</v>
      </c>
      <c r="Y19">
        <f t="shared" si="4"/>
        <v>49.725415424136827</v>
      </c>
      <c r="Z19">
        <f t="shared" si="4"/>
        <v>48.934580087752188</v>
      </c>
      <c r="AA19">
        <f t="shared" si="4"/>
        <v>48.902710759348409</v>
      </c>
      <c r="AB19">
        <f t="shared" si="4"/>
        <v>49.571501962991448</v>
      </c>
      <c r="AC19">
        <f t="shared" si="4"/>
        <v>50.877797895802829</v>
      </c>
      <c r="AD19">
        <f t="shared" si="4"/>
        <v>52.754282861664755</v>
      </c>
      <c r="AE19">
        <f t="shared" si="4"/>
        <v>55.130111604602078</v>
      </c>
      <c r="AF19">
        <f t="shared" si="4"/>
        <v>57.93148569166312</v>
      </c>
      <c r="AG19">
        <f t="shared" si="4"/>
        <v>61.082184178826225</v>
      </c>
      <c r="AH19">
        <f t="shared" si="4"/>
        <v>64.504057602579792</v>
      </c>
      <c r="AI19">
        <f t="shared" si="4"/>
        <v>68.117494151421809</v>
      </c>
    </row>
    <row r="20" spans="2:35" x14ac:dyDescent="0.3">
      <c r="E20" t="s">
        <v>17</v>
      </c>
      <c r="F20">
        <f>-($C$9*$C$8)/($C$5)*F13</f>
        <v>-2483999999.9999995</v>
      </c>
      <c r="G20">
        <f t="shared" ref="G20:AI20" si="5">-($C$9*$C$8)/($C$5)*G13</f>
        <v>-2320386715.3432221</v>
      </c>
      <c r="H20">
        <f t="shared" si="5"/>
        <v>-2158146906.604291</v>
      </c>
      <c r="I20">
        <f t="shared" si="5"/>
        <v>-1998657142.5455997</v>
      </c>
      <c r="J20">
        <f t="shared" si="5"/>
        <v>-1843225847.0165901</v>
      </c>
      <c r="K20">
        <f t="shared" si="5"/>
        <v>-1693092360.7597618</v>
      </c>
      <c r="L20">
        <f t="shared" si="5"/>
        <v>-1549403500.5056908</v>
      </c>
      <c r="M20">
        <f t="shared" si="5"/>
        <v>-1413196130.8935313</v>
      </c>
      <c r="N20">
        <f t="shared" si="5"/>
        <v>-1285383078.9151788</v>
      </c>
      <c r="O20">
        <f t="shared" si="5"/>
        <v>-1166742641.8415127</v>
      </c>
      <c r="P20">
        <f t="shared" si="5"/>
        <v>-1057911763.4243938</v>
      </c>
      <c r="Q20">
        <f t="shared" si="5"/>
        <v>-959382784.22855818</v>
      </c>
      <c r="R20">
        <f t="shared" si="5"/>
        <v>-871503520.94660056</v>
      </c>
      <c r="S20">
        <f t="shared" si="5"/>
        <v>-794480305.2844969</v>
      </c>
      <c r="T20">
        <f t="shared" si="5"/>
        <v>-728383521.73072696</v>
      </c>
      <c r="U20">
        <f t="shared" si="5"/>
        <v>-673155128.58192456</v>
      </c>
      <c r="V20">
        <f t="shared" si="5"/>
        <v>-628617628.32330263</v>
      </c>
      <c r="W20">
        <f t="shared" si="5"/>
        <v>-594483969.34521639</v>
      </c>
      <c r="X20">
        <f t="shared" si="5"/>
        <v>-570367906.08599877</v>
      </c>
      <c r="Y20">
        <f t="shared" si="5"/>
        <v>-555794412.27433097</v>
      </c>
      <c r="Z20">
        <f t="shared" si="5"/>
        <v>-550209824.16106677</v>
      </c>
      <c r="AA20">
        <f t="shared" si="5"/>
        <v>-552991479.32908225</v>
      </c>
      <c r="AB20">
        <f t="shared" si="5"/>
        <v>-563456704.14050889</v>
      </c>
      <c r="AC20">
        <f t="shared" si="5"/>
        <v>-580871082.51205349</v>
      </c>
      <c r="AD20">
        <f t="shared" si="5"/>
        <v>-604456005.49167085</v>
      </c>
      <c r="AE20">
        <f t="shared" si="5"/>
        <v>-633395551.94892228</v>
      </c>
      <c r="AF20">
        <f t="shared" si="5"/>
        <v>-666842784.50818515</v>
      </c>
      <c r="AG20">
        <f t="shared" si="5"/>
        <v>-703925562.47812414</v>
      </c>
      <c r="AH20">
        <f t="shared" si="5"/>
        <v>-743751977.40577304</v>
      </c>
      <c r="AI20">
        <f t="shared" si="5"/>
        <v>-785415510.62288105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Юрий Автонеев</dc:creator>
  <cp:lastModifiedBy>Юрий Автонеев</cp:lastModifiedBy>
  <dcterms:created xsi:type="dcterms:W3CDTF">2021-10-13T08:41:30Z</dcterms:created>
  <dcterms:modified xsi:type="dcterms:W3CDTF">2021-10-25T20:28:41Z</dcterms:modified>
</cp:coreProperties>
</file>