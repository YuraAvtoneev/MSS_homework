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sers\MAURER\Documents\Юра\Учёба\5 семестр\МСС\"/>
    </mc:Choice>
  </mc:AlternateContent>
  <xr:revisionPtr revIDLastSave="0" documentId="8_{3BD7285A-3E92-48FE-8351-807249508DC7}" xr6:coauthVersionLast="37" xr6:coauthVersionMax="37" xr10:uidLastSave="{00000000-0000-0000-0000-000000000000}"/>
  <bookViews>
    <workbookView xWindow="0" yWindow="0" windowWidth="23040" windowHeight="8484" xr2:uid="{A49C7AD1-A369-4D10-A00A-4D7630F87029}"/>
  </bookViews>
  <sheets>
    <sheet name="Лист1" sheetId="1" r:id="rId1"/>
  </sheets>
  <calcPr calcId="17902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3" i="1"/>
  <c r="G16" i="1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G15" i="1" l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<sst xmlns="http://schemas.openxmlformats.org/spreadsheetml/2006/main" count="13" uniqueCount="12">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</sst>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299.99998838365582</c:v>
                </c:pt>
                <c:pt idx="1">
                  <c:v>293.33332171698913</c:v>
                </c:pt>
                <c:pt idx="2">
                  <c:v>286.66665508325025</c:v>
                </c:pt>
                <c:pt idx="3">
                  <c:v>279.99998848234577</c:v>
                </c:pt>
                <c:pt idx="4">
                  <c:v>273.33332191408937</c:v>
                </c:pt>
                <c:pt idx="5">
                  <c:v>266.66665537820211</c:v>
                </c:pt>
                <c:pt idx="6">
                  <c:v>259.99998887431309</c:v>
                </c:pt>
                <c:pt idx="7">
                  <c:v>253.33332240196125</c:v>
                </c:pt>
                <c:pt idx="8">
                  <c:v>246.66665596059539</c:v>
                </c:pt>
                <c:pt idx="9">
                  <c:v>239.99998954957718</c:v>
                </c:pt>
                <c:pt idx="10">
                  <c:v>233.33332316818172</c:v>
                </c:pt>
                <c:pt idx="11">
                  <c:v>226.66665681560056</c:v>
                </c:pt>
                <c:pt idx="12">
                  <c:v>219.99999049094328</c:v>
                </c:pt>
                <c:pt idx="13">
                  <c:v>213.33332419324049</c:v>
                </c:pt>
                <c:pt idx="14">
                  <c:v>206.66665792144624</c:v>
                </c:pt>
                <c:pt idx="15">
                  <c:v>199.9999916744413</c:v>
                </c:pt>
                <c:pt idx="16">
                  <c:v>193.33332545103605</c:v>
                </c:pt>
                <c:pt idx="17">
                  <c:v>186.66665924997403</c:v>
                </c:pt>
                <c:pt idx="18">
                  <c:v>179.99999306993547</c:v>
                </c:pt>
                <c:pt idx="19">
                  <c:v>173.33332690954086</c:v>
                </c:pt>
                <c:pt idx="20">
                  <c:v>166.66666076735527</c:v>
                </c:pt>
                <c:pt idx="21">
                  <c:v>159.99999464189187</c:v>
                </c:pt>
                <c:pt idx="22">
                  <c:v>153.33332853161659</c:v>
                </c:pt>
                <c:pt idx="23">
                  <c:v>146.66666243495234</c:v>
                </c:pt>
                <c:pt idx="24">
                  <c:v>139.99999635028331</c:v>
                </c:pt>
                <c:pt idx="25">
                  <c:v>133.33333027595984</c:v>
                </c:pt>
                <c:pt idx="26">
                  <c:v>126.66666421030278</c:v>
                </c:pt>
                <c:pt idx="27">
                  <c:v>119.99999815160858</c:v>
                </c:pt>
                <c:pt idx="28">
                  <c:v>113.33333209815386</c:v>
                </c:pt>
                <c:pt idx="29">
                  <c:v>106.66666604820037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55-4E49-BC39-B6C7F0A48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253376"/>
        <c:axId val="656173184"/>
      </c:scatterChart>
      <c:valAx>
        <c:axId val="7712533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6173184"/>
        <c:crosses val="autoZero"/>
        <c:crossBetween val="midCat"/>
      </c:valAx>
      <c:valAx>
        <c:axId val="656173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125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18</xdr:row>
      <xdr:rowOff>180974</xdr:rowOff>
    </xdr:from>
    <xdr:to>
      <xdr:col>17</xdr:col>
      <xdr:colOff>19050</xdr:colOff>
      <xdr:row>46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22D0D77-688A-447D-8B00-E33286213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47625</xdr:colOff>
      <xdr:row>19</xdr:row>
      <xdr:rowOff>38100</xdr:rowOff>
    </xdr:from>
    <xdr:ext cx="58836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xdr:cNvPr>
            <xdr:cNvSpPr txBox="1"/>
          </xdr:nvSpPr>
          <xdr:spPr>
            <a:xfrm>
              <a:off x="3686175" y="3476625"/>
              <a:ext cx="58836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xdr:cNvPr>
            <xdr:cNvSpPr txBox="1"/>
          </xdr:nvSpPr>
          <xdr:spPr>
            <a:xfrm>
              <a:off x="3686175" y="3476625"/>
              <a:ext cx="58836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15</xdr:col>
      <xdr:colOff>228600</xdr:colOff>
      <xdr:row>44</xdr:row>
      <xdr:rowOff>38100</xdr:rowOff>
    </xdr:from>
    <xdr:ext cx="569836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xdr:cNvPr>
            <xdr:cNvSpPr txBox="1"/>
          </xdr:nvSpPr>
          <xdr:spPr>
            <a:xfrm>
              <a:off x="7810500" y="8001000"/>
              <a:ext cx="569836" cy="3130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xdr:cNvPr>
            <xdr:cNvSpPr txBox="1"/>
          </xdr:nvSpPr>
          <xdr:spPr>
            <a:xfrm>
              <a:off x="7810500" y="8001000"/>
              <a:ext cx="569836" cy="3130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BA481-E141-473B-9B92-7D2E421EA8C2}">
  <sheetPr codeName="Лист1"/>
  <dimension ref="B3:AJ16"/>
  <sheetViews>
    <sheetView tabSelected="1" topLeftCell="C1" zoomScale="80" zoomScaleNormal="80" workbookViewId="0">
      <selection activeCell="G13" sqref="G13:AI13"/>
    </sheetView>
  </sheetViews>
  <sheetFormatPr defaultRowHeight="14.4" x14ac:dyDescent="0.3"/>
  <cols>
    <col min="3" max="3" width="11.109375" customWidth="1"/>
    <col min="6" max="6" width="6.44140625" bestFit="1" customWidth="1"/>
    <col min="7" max="7" width="6.6640625" bestFit="1" customWidth="1"/>
    <col min="8" max="36" width="6.441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5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6" t="s">
        <v>3</v>
      </c>
      <c r="C6" s="6">
        <v>5000</v>
      </c>
      <c r="D6">
        <v>5000.2333333333345</v>
      </c>
    </row>
    <row r="7" spans="2:36" x14ac:dyDescent="0.3">
      <c r="B7" s="8"/>
      <c r="C7" s="8"/>
    </row>
    <row r="8" spans="2:36" x14ac:dyDescent="0.3">
      <c r="B8" s="7" t="s">
        <v>4</v>
      </c>
      <c r="C8" s="7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6" t="s">
        <v>6</v>
      </c>
      <c r="C10" s="6">
        <v>46</v>
      </c>
    </row>
    <row r="11" spans="2:36" x14ac:dyDescent="0.3">
      <c r="B11" s="8"/>
      <c r="C11" s="8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7" t="s">
        <v>10</v>
      </c>
      <c r="C12" s="7">
        <v>92000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(F16/C10)*C4+G13</f>
        <v>299.99998838365582</v>
      </c>
      <c r="G13" s="1">
        <v>293.33332171698913</v>
      </c>
      <c r="H13" s="1">
        <v>286.66665508325025</v>
      </c>
      <c r="I13" s="1">
        <v>279.99998848234577</v>
      </c>
      <c r="J13" s="1">
        <v>273.33332191408937</v>
      </c>
      <c r="K13" s="1">
        <v>266.66665537820211</v>
      </c>
      <c r="L13" s="1">
        <v>259.99998887431309</v>
      </c>
      <c r="M13" s="1">
        <v>253.33332240196125</v>
      </c>
      <c r="N13" s="1">
        <v>246.66665596059539</v>
      </c>
      <c r="O13" s="1">
        <v>239.99998954957718</v>
      </c>
      <c r="P13" s="1">
        <v>233.33332316818172</v>
      </c>
      <c r="Q13" s="1">
        <v>226.66665681560056</v>
      </c>
      <c r="R13" s="1">
        <v>219.99999049094328</v>
      </c>
      <c r="S13" s="1">
        <v>213.33332419324049</v>
      </c>
      <c r="T13" s="1">
        <v>206.66665792144624</v>
      </c>
      <c r="U13" s="1">
        <v>199.9999916744413</v>
      </c>
      <c r="V13" s="1">
        <v>193.33332545103605</v>
      </c>
      <c r="W13" s="1">
        <v>186.66665924997403</v>
      </c>
      <c r="X13" s="1">
        <v>179.99999306993547</v>
      </c>
      <c r="Y13" s="1">
        <v>173.33332690954086</v>
      </c>
      <c r="Z13" s="1">
        <v>166.66666076735527</v>
      </c>
      <c r="AA13" s="1">
        <v>159.99999464189187</v>
      </c>
      <c r="AB13" s="1">
        <v>153.33332853161659</v>
      </c>
      <c r="AC13" s="1">
        <v>146.66666243495234</v>
      </c>
      <c r="AD13" s="1">
        <v>139.99999635028331</v>
      </c>
      <c r="AE13" s="1">
        <v>133.33333027595984</v>
      </c>
      <c r="AF13" s="1">
        <v>126.66666421030278</v>
      </c>
      <c r="AG13" s="1">
        <v>119.99999815160858</v>
      </c>
      <c r="AH13" s="1">
        <v>113.33333209815386</v>
      </c>
      <c r="AI13" s="1">
        <v>106.66666604820037</v>
      </c>
      <c r="AJ13" s="1">
        <f>C13</f>
        <v>100</v>
      </c>
    </row>
    <row r="15" spans="2:36" x14ac:dyDescent="0.3">
      <c r="E15" t="s">
        <v>9</v>
      </c>
      <c r="G15">
        <f>G13+(($C$10*$C$5)/($C$9*$C$8))*((H13-2*G13+F13)/($C$4^2))</f>
        <v>293.33332173345303</v>
      </c>
      <c r="H15">
        <f t="shared" ref="H15:AI15" si="1">H13+(($C$10*$C$5)/($C$9*$C$8))*((I13-2*H13+G13)/($C$4^2))</f>
        <v>286.66665509966742</v>
      </c>
      <c r="I15">
        <f t="shared" si="1"/>
        <v>279.99998849866984</v>
      </c>
      <c r="J15">
        <f t="shared" si="1"/>
        <v>273.33332193027394</v>
      </c>
      <c r="K15">
        <f t="shared" si="1"/>
        <v>266.66665539420126</v>
      </c>
      <c r="L15">
        <f t="shared" si="1"/>
        <v>259.99998889008168</v>
      </c>
      <c r="M15">
        <f t="shared" si="1"/>
        <v>253.33332241745424</v>
      </c>
      <c r="N15">
        <f t="shared" si="1"/>
        <v>246.66665597576923</v>
      </c>
      <c r="O15">
        <f t="shared" si="1"/>
        <v>239.99998956438856</v>
      </c>
      <c r="P15">
        <f t="shared" si="1"/>
        <v>233.33332318258886</v>
      </c>
      <c r="Q15">
        <f t="shared" si="1"/>
        <v>226.6666568295625</v>
      </c>
      <c r="R15">
        <f t="shared" si="1"/>
        <v>219.99999050442051</v>
      </c>
      <c r="S15">
        <f t="shared" si="1"/>
        <v>213.33332420619476</v>
      </c>
      <c r="T15">
        <f t="shared" si="1"/>
        <v>206.6666579338409</v>
      </c>
      <c r="U15">
        <f t="shared" si="1"/>
        <v>199.99999168624115</v>
      </c>
      <c r="V15">
        <f t="shared" si="1"/>
        <v>193.33332546220765</v>
      </c>
      <c r="W15">
        <f t="shared" si="1"/>
        <v>186.66665926048574</v>
      </c>
      <c r="X15">
        <f t="shared" si="1"/>
        <v>179.99999307975745</v>
      </c>
      <c r="Y15">
        <f t="shared" si="1"/>
        <v>173.33332691864535</v>
      </c>
      <c r="Z15">
        <f t="shared" si="1"/>
        <v>166.66666077571637</v>
      </c>
      <c r="AA15">
        <f t="shared" si="1"/>
        <v>159.99999464948593</v>
      </c>
      <c r="AB15">
        <f t="shared" si="1"/>
        <v>153.33332853842211</v>
      </c>
      <c r="AC15">
        <f t="shared" si="1"/>
        <v>146.66666244094995</v>
      </c>
      <c r="AD15">
        <f t="shared" si="1"/>
        <v>139.99999635545609</v>
      </c>
      <c r="AE15">
        <f t="shared" si="1"/>
        <v>133.33333028029304</v>
      </c>
      <c r="AF15">
        <f t="shared" si="1"/>
        <v>126.66666421378422</v>
      </c>
      <c r="AG15">
        <f t="shared" si="1"/>
        <v>119.99999815422832</v>
      </c>
      <c r="AH15">
        <f t="shared" si="1"/>
        <v>113.33333209990448</v>
      </c>
      <c r="AI15">
        <f t="shared" si="1"/>
        <v>106.66666604907692</v>
      </c>
    </row>
    <row r="16" spans="2:36" x14ac:dyDescent="0.3">
      <c r="E16" t="s">
        <v>11</v>
      </c>
      <c r="F16">
        <v>92000</v>
      </c>
      <c r="G16">
        <f>-$C$10*((G13-F13)/$C$4)</f>
        <v>92000.000000000247</v>
      </c>
      <c r="H16">
        <f t="shared" ref="H16:AI16" si="2">-$C$10*((H13-G13)/$C$4)</f>
        <v>91999.999545596598</v>
      </c>
      <c r="I16">
        <f t="shared" si="2"/>
        <v>91999.999092481783</v>
      </c>
      <c r="J16">
        <f t="shared" si="2"/>
        <v>91999.998641938349</v>
      </c>
      <c r="K16">
        <f t="shared" si="2"/>
        <v>91999.998195244174</v>
      </c>
      <c r="L16">
        <f t="shared" si="2"/>
        <v>91999.997753668446</v>
      </c>
      <c r="M16">
        <f t="shared" si="2"/>
        <v>91999.997318455309</v>
      </c>
      <c r="N16">
        <f t="shared" si="2"/>
        <v>91999.996890848895</v>
      </c>
      <c r="O16">
        <f t="shared" si="2"/>
        <v>91999.996472051324</v>
      </c>
      <c r="P16">
        <f t="shared" si="2"/>
        <v>91999.99606325732</v>
      </c>
      <c r="Q16">
        <f t="shared" si="2"/>
        <v>91999.995665619994</v>
      </c>
      <c r="R16">
        <f t="shared" si="2"/>
        <v>91999.995280270523</v>
      </c>
      <c r="S16">
        <f t="shared" si="2"/>
        <v>91999.994908298497</v>
      </c>
      <c r="T16">
        <f t="shared" si="2"/>
        <v>91999.99455076053</v>
      </c>
      <c r="U16">
        <f t="shared" si="2"/>
        <v>91999.994208668169</v>
      </c>
      <c r="V16">
        <f t="shared" si="2"/>
        <v>91999.993882992552</v>
      </c>
      <c r="W16">
        <f t="shared" si="2"/>
        <v>91999.993574655789</v>
      </c>
      <c r="X16">
        <f t="shared" si="2"/>
        <v>91999.993284532145</v>
      </c>
      <c r="Y16">
        <f t="shared" si="2"/>
        <v>91999.993013445652</v>
      </c>
      <c r="Z16">
        <f t="shared" si="2"/>
        <v>91999.992762161142</v>
      </c>
      <c r="AA16">
        <f t="shared" si="2"/>
        <v>91999.992531394819</v>
      </c>
      <c r="AB16">
        <f t="shared" si="2"/>
        <v>91999.992321798942</v>
      </c>
      <c r="AC16">
        <f t="shared" si="2"/>
        <v>91999.99213396656</v>
      </c>
      <c r="AD16">
        <f t="shared" si="2"/>
        <v>91999.991968432631</v>
      </c>
      <c r="AE16">
        <f t="shared" si="2"/>
        <v>91999.991825663921</v>
      </c>
      <c r="AF16">
        <f t="shared" si="2"/>
        <v>91999.991706067347</v>
      </c>
      <c r="AG16">
        <f t="shared" si="2"/>
        <v>91999.991609980003</v>
      </c>
      <c r="AH16">
        <f t="shared" si="2"/>
        <v>91999.991537675116</v>
      </c>
      <c r="AI16">
        <f t="shared" si="2"/>
        <v>91999.991489358174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Юрий Автонеев</dc:creator>
  <cp:lastModifiedBy>Юрий Автонеев</cp:lastModifiedBy>
  <dcterms:created xsi:type="dcterms:W3CDTF">2021-09-23T17:59:51Z</dcterms:created>
  <dcterms:modified xsi:type="dcterms:W3CDTF">2021-09-24T06:50:55Z</dcterms:modified>
</cp:coreProperties>
</file>