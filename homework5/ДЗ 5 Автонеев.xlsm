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MAURER\Documents\Yura\Education\5 sem\МСС\"/>
    </mc:Choice>
  </mc:AlternateContent>
  <xr:revisionPtr revIDLastSave="0" documentId="13_ncr:1_{8EB41087-8EF5-4874-AE6B-DDEF7640E2A9}" xr6:coauthVersionLast="37" xr6:coauthVersionMax="37" xr10:uidLastSave="{00000000-0000-0000-0000-000000000000}"/>
  <bookViews>
    <workbookView xWindow="0" yWindow="0" windowWidth="23040" windowHeight="8484" xr2:uid="{52AEB53D-DABC-4BD5-8A4E-FEABE8CFCCCC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2" i="1" l="1"/>
  <c r="Y22" i="1" s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AH11" i="1"/>
  <c r="AI11" i="1"/>
  <c r="AJ11" i="1"/>
  <c r="AK11" i="1"/>
  <c r="AL11" i="1"/>
  <c r="AG11" i="1"/>
  <c r="AF11" i="1"/>
  <c r="AE11" i="1"/>
  <c r="AD11" i="1"/>
  <c r="AC11" i="1"/>
  <c r="Y11" i="1"/>
  <c r="Z11" i="1"/>
  <c r="AA11" i="1"/>
  <c r="AB11" i="1"/>
  <c r="X11" i="1"/>
  <c r="AH10" i="1"/>
  <c r="AI10" i="1"/>
  <c r="AJ10" i="1"/>
  <c r="AK10" i="1"/>
  <c r="AL10" i="1"/>
  <c r="AG10" i="1"/>
  <c r="AF10" i="1"/>
  <c r="AE10" i="1"/>
  <c r="AD10" i="1"/>
  <c r="AC10" i="1"/>
  <c r="AH9" i="1"/>
  <c r="AI9" i="1"/>
  <c r="AJ9" i="1"/>
  <c r="AK9" i="1"/>
  <c r="AL9" i="1"/>
  <c r="AG9" i="1"/>
  <c r="AF9" i="1"/>
  <c r="AE9" i="1"/>
  <c r="AD9" i="1"/>
  <c r="AC9" i="1"/>
  <c r="AB10" i="1"/>
  <c r="AB9" i="1"/>
  <c r="AA9" i="1"/>
  <c r="Y10" i="1"/>
  <c r="Z10" i="1"/>
  <c r="AA10" i="1"/>
  <c r="X10" i="1"/>
  <c r="Y9" i="1"/>
  <c r="Z9" i="1"/>
  <c r="X9" i="1"/>
  <c r="X12" i="1"/>
  <c r="G62" i="1"/>
  <c r="H62" i="1"/>
  <c r="I62" i="1"/>
  <c r="J62" i="1"/>
  <c r="N64" i="1"/>
  <c r="N65" i="1"/>
  <c r="N66" i="1"/>
  <c r="M65" i="1"/>
  <c r="L64" i="1"/>
  <c r="K63" i="1"/>
  <c r="M64" i="1"/>
  <c r="K62" i="1"/>
  <c r="L62" i="1"/>
  <c r="M62" i="1"/>
  <c r="N62" i="1"/>
  <c r="L63" i="1"/>
  <c r="M63" i="1"/>
  <c r="N63" i="1"/>
  <c r="G58" i="1"/>
  <c r="H58" i="1"/>
  <c r="I58" i="1"/>
  <c r="J58" i="1"/>
  <c r="K58" i="1"/>
  <c r="L58" i="1"/>
  <c r="M58" i="1"/>
  <c r="N58" i="1"/>
  <c r="G59" i="1"/>
  <c r="H59" i="1"/>
  <c r="I59" i="1"/>
  <c r="J59" i="1"/>
  <c r="K59" i="1"/>
  <c r="L59" i="1"/>
  <c r="M59" i="1"/>
  <c r="N59" i="1"/>
  <c r="G60" i="1"/>
  <c r="H60" i="1"/>
  <c r="I60" i="1"/>
  <c r="J60" i="1"/>
  <c r="K60" i="1"/>
  <c r="L60" i="1"/>
  <c r="M60" i="1"/>
  <c r="N60" i="1"/>
  <c r="G61" i="1"/>
  <c r="H61" i="1"/>
  <c r="I61" i="1"/>
  <c r="J61" i="1"/>
  <c r="K61" i="1"/>
  <c r="L61" i="1"/>
  <c r="M61" i="1"/>
  <c r="N61" i="1"/>
  <c r="O58" i="1"/>
  <c r="P58" i="1"/>
  <c r="Q58" i="1"/>
  <c r="R58" i="1"/>
  <c r="S58" i="1"/>
  <c r="O59" i="1"/>
  <c r="P59" i="1"/>
  <c r="Q59" i="1"/>
  <c r="R59" i="1"/>
  <c r="S59" i="1"/>
  <c r="O60" i="1"/>
  <c r="P60" i="1"/>
  <c r="Q60" i="1"/>
  <c r="R60" i="1"/>
  <c r="S60" i="1"/>
  <c r="O61" i="1"/>
  <c r="P61" i="1"/>
  <c r="Q61" i="1"/>
  <c r="R61" i="1"/>
  <c r="S61" i="1"/>
  <c r="O62" i="1"/>
  <c r="P62" i="1"/>
  <c r="Q62" i="1"/>
  <c r="R62" i="1"/>
  <c r="S62" i="1"/>
  <c r="O63" i="1"/>
  <c r="P63" i="1"/>
  <c r="Q63" i="1"/>
  <c r="R63" i="1"/>
  <c r="S63" i="1"/>
  <c r="O64" i="1"/>
  <c r="P64" i="1"/>
  <c r="Q64" i="1"/>
  <c r="R64" i="1"/>
  <c r="S64" i="1"/>
  <c r="O65" i="1"/>
  <c r="P65" i="1"/>
  <c r="Q65" i="1"/>
  <c r="R65" i="1"/>
  <c r="S65" i="1"/>
  <c r="O66" i="1"/>
  <c r="P66" i="1"/>
  <c r="Q66" i="1"/>
  <c r="R66" i="1"/>
  <c r="S66" i="1"/>
  <c r="T59" i="1"/>
  <c r="T60" i="1"/>
  <c r="T61" i="1"/>
  <c r="T62" i="1"/>
  <c r="T63" i="1"/>
  <c r="T64" i="1"/>
  <c r="T65" i="1"/>
  <c r="T66" i="1"/>
  <c r="O67" i="1"/>
  <c r="P67" i="1"/>
  <c r="Q67" i="1"/>
  <c r="R67" i="1"/>
  <c r="S67" i="1"/>
  <c r="T58" i="1"/>
  <c r="T6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F58" i="1"/>
  <c r="F59" i="1"/>
  <c r="F60" i="1"/>
  <c r="F61" i="1"/>
  <c r="F62" i="1"/>
  <c r="F57" i="1"/>
  <c r="F45" i="1"/>
  <c r="F46" i="1"/>
  <c r="F47" i="1"/>
  <c r="F48" i="1"/>
  <c r="F49" i="1"/>
  <c r="T45" i="1"/>
  <c r="T46" i="1"/>
  <c r="T47" i="1"/>
  <c r="T48" i="1"/>
  <c r="T49" i="1"/>
  <c r="T50" i="1"/>
  <c r="T51" i="1"/>
  <c r="T52" i="1"/>
  <c r="T53" i="1"/>
  <c r="T54" i="1"/>
  <c r="T44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P54" i="1"/>
  <c r="Q54" i="1"/>
  <c r="R54" i="1"/>
  <c r="S54" i="1"/>
  <c r="O50" i="1"/>
  <c r="O51" i="1"/>
  <c r="O52" i="1"/>
  <c r="O53" i="1"/>
  <c r="O54" i="1"/>
  <c r="N50" i="1"/>
  <c r="N51" i="1"/>
  <c r="N52" i="1"/>
  <c r="M50" i="1"/>
  <c r="M51" i="1"/>
  <c r="L50" i="1"/>
  <c r="N53" i="1"/>
  <c r="M52" i="1"/>
  <c r="L51" i="1"/>
  <c r="K50" i="1"/>
  <c r="I44" i="1"/>
  <c r="J44" i="1"/>
  <c r="K44" i="1"/>
  <c r="L44" i="1"/>
  <c r="M44" i="1"/>
  <c r="N44" i="1"/>
  <c r="O44" i="1"/>
  <c r="P44" i="1"/>
  <c r="Q44" i="1"/>
  <c r="R44" i="1"/>
  <c r="S44" i="1"/>
  <c r="I45" i="1"/>
  <c r="J45" i="1"/>
  <c r="K45" i="1"/>
  <c r="L45" i="1"/>
  <c r="M45" i="1"/>
  <c r="N45" i="1"/>
  <c r="O45" i="1"/>
  <c r="P45" i="1"/>
  <c r="Q45" i="1"/>
  <c r="R45" i="1"/>
  <c r="S45" i="1"/>
  <c r="I46" i="1"/>
  <c r="J46" i="1"/>
  <c r="K46" i="1"/>
  <c r="L46" i="1"/>
  <c r="M46" i="1"/>
  <c r="N46" i="1"/>
  <c r="O46" i="1"/>
  <c r="P46" i="1"/>
  <c r="Q46" i="1"/>
  <c r="R46" i="1"/>
  <c r="S46" i="1"/>
  <c r="I47" i="1"/>
  <c r="J47" i="1"/>
  <c r="K47" i="1"/>
  <c r="L47" i="1"/>
  <c r="M47" i="1"/>
  <c r="N47" i="1"/>
  <c r="O47" i="1"/>
  <c r="P47" i="1"/>
  <c r="Q47" i="1"/>
  <c r="R47" i="1"/>
  <c r="S47" i="1"/>
  <c r="I48" i="1"/>
  <c r="J48" i="1"/>
  <c r="K48" i="1"/>
  <c r="L48" i="1"/>
  <c r="M48" i="1"/>
  <c r="N48" i="1"/>
  <c r="O48" i="1"/>
  <c r="P48" i="1"/>
  <c r="Q48" i="1"/>
  <c r="R48" i="1"/>
  <c r="S48" i="1"/>
  <c r="I49" i="1"/>
  <c r="J49" i="1"/>
  <c r="K49" i="1"/>
  <c r="L49" i="1"/>
  <c r="M49" i="1"/>
  <c r="N49" i="1"/>
  <c r="O49" i="1"/>
  <c r="H49" i="1"/>
  <c r="H44" i="1"/>
  <c r="H45" i="1"/>
  <c r="H46" i="1"/>
  <c r="H47" i="1"/>
  <c r="H48" i="1"/>
  <c r="G49" i="1"/>
  <c r="G44" i="1"/>
  <c r="G45" i="1"/>
  <c r="G46" i="1"/>
  <c r="G47" i="1"/>
  <c r="G48" i="1"/>
  <c r="F44" i="1"/>
  <c r="P41" i="1"/>
  <c r="Q41" i="1"/>
  <c r="R41" i="1"/>
  <c r="S41" i="1"/>
  <c r="T41" i="1"/>
  <c r="O41" i="1"/>
  <c r="N40" i="1"/>
  <c r="M39" i="1"/>
  <c r="L38" i="1"/>
  <c r="K37" i="1"/>
  <c r="J36" i="1"/>
  <c r="H36" i="1"/>
  <c r="I36" i="1"/>
  <c r="G36" i="1"/>
  <c r="T33" i="1"/>
  <c r="T34" i="1"/>
  <c r="T35" i="1"/>
  <c r="T36" i="1"/>
  <c r="T37" i="1"/>
  <c r="T38" i="1"/>
  <c r="T39" i="1"/>
  <c r="T40" i="1"/>
  <c r="S33" i="1"/>
  <c r="T32" i="1"/>
  <c r="S36" i="1"/>
  <c r="S37" i="1"/>
  <c r="S38" i="1"/>
  <c r="S39" i="1"/>
  <c r="S40" i="1"/>
  <c r="R36" i="1"/>
  <c r="R37" i="1"/>
  <c r="R38" i="1"/>
  <c r="R39" i="1"/>
  <c r="R40" i="1"/>
  <c r="Q36" i="1"/>
  <c r="Q37" i="1"/>
  <c r="Q38" i="1"/>
  <c r="Q39" i="1"/>
  <c r="Q40" i="1"/>
  <c r="P36" i="1"/>
  <c r="P37" i="1"/>
  <c r="P38" i="1"/>
  <c r="P39" i="1"/>
  <c r="P40" i="1"/>
  <c r="O36" i="1"/>
  <c r="O37" i="1"/>
  <c r="O38" i="1"/>
  <c r="O39" i="1"/>
  <c r="O40" i="1"/>
  <c r="N36" i="1"/>
  <c r="N37" i="1"/>
  <c r="N38" i="1"/>
  <c r="N39" i="1"/>
  <c r="M36" i="1"/>
  <c r="M37" i="1"/>
  <c r="M38" i="1"/>
  <c r="L37" i="1"/>
  <c r="L36" i="1"/>
  <c r="K36" i="1"/>
  <c r="F36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F32" i="1"/>
  <c r="Y23" i="1" l="1"/>
  <c r="Z22" i="1"/>
  <c r="X23" i="1"/>
  <c r="Y12" i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G31" i="1"/>
  <c r="F31" i="1"/>
  <c r="Z23" i="1" l="1"/>
  <c r="AA22" i="1"/>
  <c r="P6" i="1"/>
  <c r="Q6" i="1"/>
  <c r="R6" i="1"/>
  <c r="S6" i="1"/>
  <c r="P7" i="1"/>
  <c r="Q7" i="1"/>
  <c r="R7" i="1"/>
  <c r="S7" i="1"/>
  <c r="P8" i="1"/>
  <c r="Q8" i="1"/>
  <c r="R8" i="1"/>
  <c r="S8" i="1"/>
  <c r="P9" i="1"/>
  <c r="Q9" i="1"/>
  <c r="R9" i="1"/>
  <c r="S9" i="1"/>
  <c r="P10" i="1"/>
  <c r="Q10" i="1"/>
  <c r="R10" i="1"/>
  <c r="S10" i="1"/>
  <c r="P11" i="1"/>
  <c r="Q11" i="1"/>
  <c r="R11" i="1"/>
  <c r="S11" i="1"/>
  <c r="P12" i="1"/>
  <c r="Q12" i="1"/>
  <c r="R12" i="1"/>
  <c r="S12" i="1"/>
  <c r="P13" i="1"/>
  <c r="Q13" i="1"/>
  <c r="R13" i="1"/>
  <c r="S13" i="1"/>
  <c r="P14" i="1"/>
  <c r="Q14" i="1"/>
  <c r="R14" i="1"/>
  <c r="S14" i="1"/>
  <c r="O10" i="1"/>
  <c r="O11" i="1"/>
  <c r="O12" i="1"/>
  <c r="O13" i="1"/>
  <c r="O14" i="1"/>
  <c r="N10" i="1"/>
  <c r="N11" i="1"/>
  <c r="N12" i="1"/>
  <c r="N13" i="1"/>
  <c r="M10" i="1"/>
  <c r="M11" i="1"/>
  <c r="M12" i="1"/>
  <c r="L10" i="1"/>
  <c r="L11" i="1"/>
  <c r="K10" i="1"/>
  <c r="H6" i="1"/>
  <c r="I6" i="1"/>
  <c r="J6" i="1"/>
  <c r="K6" i="1"/>
  <c r="L6" i="1"/>
  <c r="M6" i="1"/>
  <c r="N6" i="1"/>
  <c r="O6" i="1"/>
  <c r="H7" i="1"/>
  <c r="I7" i="1"/>
  <c r="J7" i="1"/>
  <c r="K7" i="1"/>
  <c r="L7" i="1"/>
  <c r="M7" i="1"/>
  <c r="N7" i="1"/>
  <c r="O7" i="1"/>
  <c r="H8" i="1"/>
  <c r="I8" i="1"/>
  <c r="J8" i="1"/>
  <c r="K8" i="1"/>
  <c r="L8" i="1"/>
  <c r="M8" i="1"/>
  <c r="N8" i="1"/>
  <c r="O8" i="1"/>
  <c r="H9" i="1"/>
  <c r="I9" i="1"/>
  <c r="J9" i="1"/>
  <c r="K9" i="1"/>
  <c r="L9" i="1"/>
  <c r="M9" i="1"/>
  <c r="N9" i="1"/>
  <c r="O9" i="1"/>
  <c r="G9" i="1"/>
  <c r="G7" i="1"/>
  <c r="G8" i="1"/>
  <c r="G6" i="1"/>
  <c r="B6" i="1"/>
  <c r="T14" i="1" s="1"/>
  <c r="T13" i="1" s="1"/>
  <c r="T12" i="1" s="1"/>
  <c r="T11" i="1" s="1"/>
  <c r="T10" i="1" s="1"/>
  <c r="T9" i="1" s="1"/>
  <c r="T8" i="1" s="1"/>
  <c r="T7" i="1" s="1"/>
  <c r="T6" i="1" s="1"/>
  <c r="H5" i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G5" i="1"/>
  <c r="F8" i="1"/>
  <c r="F7" i="1" s="1"/>
  <c r="F6" i="1" s="1"/>
  <c r="F5" i="1" s="1"/>
  <c r="F9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X13" i="1"/>
  <c r="AB22" i="1" l="1"/>
  <c r="AA23" i="1"/>
  <c r="AC22" i="1" l="1"/>
  <c r="AB23" i="1"/>
  <c r="AC23" i="1" l="1"/>
  <c r="AD22" i="1"/>
  <c r="AD23" i="1" l="1"/>
  <c r="AE22" i="1"/>
  <c r="AF22" i="1" l="1"/>
  <c r="AE23" i="1"/>
  <c r="AG22" i="1" l="1"/>
  <c r="AF23" i="1"/>
  <c r="AG23" i="1" l="1"/>
  <c r="AH22" i="1"/>
  <c r="AH23" i="1" l="1"/>
  <c r="AI22" i="1"/>
  <c r="AJ22" i="1" l="1"/>
  <c r="AI23" i="1"/>
  <c r="AK22" i="1" l="1"/>
  <c r="AJ23" i="1"/>
  <c r="AK23" i="1" l="1"/>
  <c r="AL22" i="1"/>
  <c r="AL23" i="1" s="1"/>
</calcChain>
</file>

<file path=xl/sharedStrings.xml><?xml version="1.0" encoding="utf-8"?>
<sst xmlns="http://schemas.openxmlformats.org/spreadsheetml/2006/main" count="30" uniqueCount="18">
  <si>
    <t>U</t>
  </si>
  <si>
    <t>V</t>
  </si>
  <si>
    <t>dx=dy</t>
  </si>
  <si>
    <t>V_in</t>
  </si>
  <si>
    <t>p_in</t>
  </si>
  <si>
    <t>V_out</t>
  </si>
  <si>
    <t>n_iter</t>
  </si>
  <si>
    <t>N_L</t>
  </si>
  <si>
    <t>N_H</t>
  </si>
  <si>
    <t>start_Row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</si>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</sst>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2" borderId="0" xfId="0" applyFill="1"/>
    <xf numFmtId="2" fontId="0" fillId="2" borderId="0" xfId="0" applyNumberFormat="1" applyFill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2" fontId="0" fillId="0" borderId="1" xfId="0" applyNumberFormat="1" applyBorder="1"/>
    <xf numFmtId="2" fontId="0" fillId="5" borderId="1" xfId="0" applyNumberFormat="1" applyFill="1" applyBorder="1"/>
    <xf numFmtId="2" fontId="0" fillId="4" borderId="1" xfId="0" applyNumberFormat="1" applyFill="1" applyBorder="1"/>
    <xf numFmtId="2" fontId="0" fillId="0" borderId="0" xfId="0" applyNumberFormat="1"/>
    <xf numFmtId="2" fontId="0" fillId="3" borderId="1" xfId="0" applyNumberFormat="1" applyFill="1" applyBorder="1"/>
    <xf numFmtId="2" fontId="0" fillId="0" borderId="1" xfId="0" applyNumberFormat="1" applyFill="1" applyBorder="1"/>
    <xf numFmtId="0" fontId="0" fillId="6" borderId="2" xfId="0" applyFill="1" applyBorder="1" applyAlignment="1">
      <alignment horizontal="left"/>
    </xf>
    <xf numFmtId="0" fontId="0" fillId="6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Лист1!$X$13:$AL$13</c:f>
              <c:numCache>
                <c:formatCode>General</c:formatCode>
                <c:ptCount val="15"/>
                <c:pt idx="0">
                  <c:v>0</c:v>
                </c:pt>
                <c:pt idx="1">
                  <c:v>-3.5737079543177973E-2</c:v>
                </c:pt>
                <c:pt idx="2">
                  <c:v>-9.1033935117884546E-2</c:v>
                </c:pt>
                <c:pt idx="3">
                  <c:v>-0.20357091388403206</c:v>
                </c:pt>
                <c:pt idx="4">
                  <c:v>-0.59334650232136488</c:v>
                </c:pt>
                <c:pt idx="5">
                  <c:v>0.30864062613924031</c:v>
                </c:pt>
                <c:pt idx="6">
                  <c:v>0.58970057938975518</c:v>
                </c:pt>
                <c:pt idx="7">
                  <c:v>0.74184416799747854</c:v>
                </c:pt>
                <c:pt idx="8">
                  <c:v>0.85363227318157442</c:v>
                </c:pt>
                <c:pt idx="9">
                  <c:v>0.95233497357927266</c:v>
                </c:pt>
                <c:pt idx="10">
                  <c:v>0.89241445309598932</c:v>
                </c:pt>
                <c:pt idx="11">
                  <c:v>0.84549092454952191</c:v>
                </c:pt>
                <c:pt idx="12">
                  <c:v>0.8089151126742945</c:v>
                </c:pt>
                <c:pt idx="13">
                  <c:v>0.77836961012450046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C6-4349-AB0C-CC710D25540E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Лист1!$X$23:$AL$23</c:f>
              <c:numCache>
                <c:formatCode>General</c:formatCode>
                <c:ptCount val="15"/>
                <c:pt idx="0">
                  <c:v>0</c:v>
                </c:pt>
                <c:pt idx="1">
                  <c:v>2.8143790863105096E-2</c:v>
                </c:pt>
                <c:pt idx="2">
                  <c:v>6.3816184289462397E-2</c:v>
                </c:pt>
                <c:pt idx="3">
                  <c:v>0.11458769199758535</c:v>
                </c:pt>
                <c:pt idx="4">
                  <c:v>0.18568973290210125</c:v>
                </c:pt>
                <c:pt idx="5">
                  <c:v>0.27485147317085645</c:v>
                </c:pt>
                <c:pt idx="6">
                  <c:v>0.36820606895227681</c:v>
                </c:pt>
                <c:pt idx="7">
                  <c:v>0.45398915106925414</c:v>
                </c:pt>
                <c:pt idx="8">
                  <c:v>0.52678678288968517</c:v>
                </c:pt>
                <c:pt idx="9">
                  <c:v>0.5859118426169152</c:v>
                </c:pt>
                <c:pt idx="10">
                  <c:v>0.63302380174660355</c:v>
                </c:pt>
                <c:pt idx="11">
                  <c:v>0.67058626124897269</c:v>
                </c:pt>
                <c:pt idx="12">
                  <c:v>0.70112116748932751</c:v>
                </c:pt>
                <c:pt idx="13">
                  <c:v>0.72692518853495125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C6-4349-AB0C-CC710D255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102560"/>
        <c:axId val="653322080"/>
      </c:lineChart>
      <c:catAx>
        <c:axId val="52010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3322080"/>
        <c:crosses val="autoZero"/>
        <c:auto val="1"/>
        <c:lblAlgn val="ctr"/>
        <c:lblOffset val="100"/>
        <c:noMultiLvlLbl val="0"/>
      </c:catAx>
      <c:valAx>
        <c:axId val="65332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10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594360</xdr:colOff>
      <xdr:row>24</xdr:row>
      <xdr:rowOff>0</xdr:rowOff>
    </xdr:from>
    <xdr:to>
      <xdr:col>30</xdr:col>
      <xdr:colOff>175260</xdr:colOff>
      <xdr:row>42</xdr:row>
      <xdr:rowOff>22860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82ECE9D-4C23-48A9-A43F-B7AF6AC0E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83820</xdr:colOff>
      <xdr:row>24</xdr:row>
      <xdr:rowOff>30480</xdr:rowOff>
    </xdr:from>
    <xdr:ext cx="179729" cy="18261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A222EF-F7C1-462D-9D5A-50F80BF46679}"/>
                </a:ext>
              </a:extLst>
            </xdr:cNvPr>
            <xdr:cNvSpPr txBox="1"/>
          </xdr:nvSpPr>
          <xdr:spPr>
            <a:xfrm>
              <a:off x="15476220" y="4419600"/>
              <a:ext cx="179729" cy="1826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A222EF-F7C1-462D-9D5A-50F80BF46679}"/>
                </a:ext>
              </a:extLst>
            </xdr:cNvPr>
            <xdr:cNvSpPr txBox="1"/>
          </xdr:nvSpPr>
          <xdr:spPr>
            <a:xfrm>
              <a:off x="15476220" y="4419600"/>
              <a:ext cx="179729" cy="1826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𝐶_𝑝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29</xdr:col>
      <xdr:colOff>563880</xdr:colOff>
      <xdr:row>34</xdr:row>
      <xdr:rowOff>38100</xdr:rowOff>
    </xdr:from>
    <xdr:ext cx="357341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3B701D-B7AB-418F-904F-1BA7343A97AE}"/>
                </a:ext>
              </a:extLst>
            </xdr:cNvPr>
            <xdr:cNvSpPr txBox="1"/>
          </xdr:nvSpPr>
          <xdr:spPr>
            <a:xfrm>
              <a:off x="19613880" y="6256020"/>
              <a:ext cx="357341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ru-RU" sz="1100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ru-RU" sz="1100" b="0" i="1">
                            <a:latin typeface="Cambria Math" panose="02040503050406030204" pitchFamily="18" charset="0"/>
                          </a:rPr>
                          <m:t>м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3B701D-B7AB-418F-904F-1BA7343A97AE}"/>
                </a:ext>
              </a:extLst>
            </xdr:cNvPr>
            <xdr:cNvSpPr txBox="1"/>
          </xdr:nvSpPr>
          <xdr:spPr>
            <a:xfrm>
              <a:off x="19613880" y="6256020"/>
              <a:ext cx="357341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𝑥,[</a:t>
              </a:r>
              <a:r>
                <a:rPr lang="ru-RU" sz="1100" b="0" i="0">
                  <a:latin typeface="Cambria Math" panose="02040503050406030204" pitchFamily="18" charset="0"/>
                </a:rPr>
                <a:t>м]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F8914-C16B-47C6-BF07-59EC25D707CF}">
  <sheetPr codeName="Лист1"/>
  <dimension ref="A2:AL68"/>
  <sheetViews>
    <sheetView tabSelected="1" topLeftCell="Q1" workbookViewId="0">
      <selection activeCell="AG33" sqref="AG33"/>
    </sheetView>
  </sheetViews>
  <sheetFormatPr defaultRowHeight="14.4" x14ac:dyDescent="0.3"/>
  <cols>
    <col min="6" max="10" width="10.5546875" bestFit="1" customWidth="1"/>
    <col min="11" max="19" width="10.109375" bestFit="1" customWidth="1"/>
    <col min="20" max="20" width="9.5546875" bestFit="1" customWidth="1"/>
  </cols>
  <sheetData>
    <row r="2" spans="1:38" x14ac:dyDescent="0.3">
      <c r="A2" s="1" t="s">
        <v>2</v>
      </c>
      <c r="B2" s="1">
        <v>0.2</v>
      </c>
    </row>
    <row r="4" spans="1:38" x14ac:dyDescent="0.3">
      <c r="A4" s="1" t="s">
        <v>3</v>
      </c>
      <c r="B4" s="1">
        <v>10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W4" s="4" t="s">
        <v>16</v>
      </c>
      <c r="X4" s="4"/>
    </row>
    <row r="5" spans="1:38" x14ac:dyDescent="0.3">
      <c r="A5" s="1" t="s">
        <v>4</v>
      </c>
      <c r="B5" s="1">
        <v>101325</v>
      </c>
      <c r="D5" s="4" t="s">
        <v>10</v>
      </c>
      <c r="E5" s="3">
        <v>2</v>
      </c>
      <c r="F5" s="9">
        <f t="shared" ref="F5:F8" si="0">F6+$B$4*$B$2</f>
        <v>10</v>
      </c>
      <c r="G5" s="9">
        <f>F5</f>
        <v>10</v>
      </c>
      <c r="H5" s="9">
        <f t="shared" ref="H5:T5" si="1">G5</f>
        <v>10</v>
      </c>
      <c r="I5" s="9">
        <f t="shared" si="1"/>
        <v>10</v>
      </c>
      <c r="J5" s="9">
        <f t="shared" si="1"/>
        <v>10</v>
      </c>
      <c r="K5" s="9">
        <f t="shared" si="1"/>
        <v>10</v>
      </c>
      <c r="L5" s="9">
        <f t="shared" si="1"/>
        <v>10</v>
      </c>
      <c r="M5" s="9">
        <f t="shared" si="1"/>
        <v>10</v>
      </c>
      <c r="N5" s="9">
        <f t="shared" si="1"/>
        <v>10</v>
      </c>
      <c r="O5" s="9">
        <f t="shared" si="1"/>
        <v>10</v>
      </c>
      <c r="P5" s="9">
        <f t="shared" si="1"/>
        <v>10</v>
      </c>
      <c r="Q5" s="9">
        <f t="shared" si="1"/>
        <v>10</v>
      </c>
      <c r="R5" s="9">
        <f t="shared" si="1"/>
        <v>10</v>
      </c>
      <c r="S5" s="9">
        <f t="shared" si="1"/>
        <v>10</v>
      </c>
      <c r="T5" s="9">
        <f t="shared" si="1"/>
        <v>10</v>
      </c>
      <c r="U5" s="2">
        <v>11</v>
      </c>
      <c r="W5" s="1">
        <v>0</v>
      </c>
      <c r="X5" s="1">
        <v>1</v>
      </c>
      <c r="Y5" s="1">
        <v>2</v>
      </c>
      <c r="Z5" s="1">
        <v>3</v>
      </c>
      <c r="AA5" s="1">
        <v>4</v>
      </c>
      <c r="AB5" s="1">
        <v>5</v>
      </c>
      <c r="AC5" s="1">
        <v>6</v>
      </c>
      <c r="AD5" s="1">
        <v>7</v>
      </c>
      <c r="AE5" s="1">
        <v>8</v>
      </c>
      <c r="AF5" s="1">
        <v>9</v>
      </c>
      <c r="AG5" s="1">
        <v>10</v>
      </c>
      <c r="AH5" s="1">
        <v>11</v>
      </c>
      <c r="AI5" s="1">
        <v>12</v>
      </c>
      <c r="AJ5" s="1">
        <v>13</v>
      </c>
      <c r="AK5" s="1">
        <v>14</v>
      </c>
      <c r="AL5" s="1">
        <v>15</v>
      </c>
    </row>
    <row r="6" spans="1:38" x14ac:dyDescent="0.3">
      <c r="A6" s="1" t="s">
        <v>5</v>
      </c>
      <c r="B6" s="1">
        <f>((E5-E10)*B4)/(E5-E15)</f>
        <v>5</v>
      </c>
      <c r="E6" s="3">
        <v>1.8</v>
      </c>
      <c r="F6" s="9">
        <f t="shared" si="0"/>
        <v>8</v>
      </c>
      <c r="G6" s="10">
        <f>0.25*(H19+F19+G18+G20)</f>
        <v>8.0283446455967091</v>
      </c>
      <c r="H6" s="10">
        <f t="shared" ref="H6:S6" si="2">0.25*(I19+G19+H18+H20)</f>
        <v>8.0648681536281597</v>
      </c>
      <c r="I6" s="10">
        <f t="shared" si="2"/>
        <v>8.1180730003504848</v>
      </c>
      <c r="J6" s="10">
        <f t="shared" si="2"/>
        <v>8.1952171686345423</v>
      </c>
      <c r="K6" s="10">
        <f t="shared" si="2"/>
        <v>8.2968869364260378</v>
      </c>
      <c r="L6" s="10">
        <f t="shared" si="2"/>
        <v>8.4102906793408554</v>
      </c>
      <c r="M6" s="10">
        <f t="shared" si="2"/>
        <v>8.5221490617377498</v>
      </c>
      <c r="N6" s="10">
        <f t="shared" si="2"/>
        <v>8.6241901045414942</v>
      </c>
      <c r="O6" s="10">
        <f t="shared" si="2"/>
        <v>8.7130063599489738</v>
      </c>
      <c r="P6" s="10">
        <f t="shared" ref="P6:S6" si="3">0.25*(Q19+O19+P18+P20)</f>
        <v>8.7884287916042254</v>
      </c>
      <c r="Q6" s="10">
        <f t="shared" si="3"/>
        <v>8.8521084741996354</v>
      </c>
      <c r="R6" s="10">
        <f t="shared" si="3"/>
        <v>8.9066037634769017</v>
      </c>
      <c r="S6" s="10">
        <f t="shared" si="3"/>
        <v>8.9548687901223616</v>
      </c>
      <c r="T6" s="9">
        <f t="shared" ref="T6:T13" si="4">T7+$B$6*$B$2</f>
        <v>9</v>
      </c>
      <c r="U6" s="2">
        <v>10</v>
      </c>
      <c r="W6" s="7" t="s">
        <v>10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</row>
    <row r="7" spans="1:38" x14ac:dyDescent="0.3">
      <c r="E7" s="3">
        <v>1.6</v>
      </c>
      <c r="F7" s="9">
        <f t="shared" si="0"/>
        <v>6</v>
      </c>
      <c r="G7" s="10">
        <f t="shared" ref="G7:S9" si="5">0.25*(H20+F20+G19+G21)</f>
        <v>6.0485104305533097</v>
      </c>
      <c r="H7" s="10">
        <f t="shared" si="5"/>
        <v>6.1130549722488485</v>
      </c>
      <c r="I7" s="10">
        <f t="shared" si="5"/>
        <v>6.2122066854329976</v>
      </c>
      <c r="J7" s="10">
        <f t="shared" si="5"/>
        <v>6.3659087467838278</v>
      </c>
      <c r="K7" s="10">
        <f t="shared" si="5"/>
        <v>6.582039910700427</v>
      </c>
      <c r="L7" s="10">
        <f t="shared" si="5"/>
        <v>6.8221267353489088</v>
      </c>
      <c r="M7" s="10">
        <f t="shared" si="5"/>
        <v>7.0541154831803308</v>
      </c>
      <c r="N7" s="10">
        <f t="shared" si="5"/>
        <v>7.2616050180910099</v>
      </c>
      <c r="O7" s="10">
        <f t="shared" si="5"/>
        <v>7.4394065667831377</v>
      </c>
      <c r="P7" s="10">
        <f t="shared" ref="P7:S7" si="6">0.25*(Q20+O20+P19+P21)</f>
        <v>7.588600353393252</v>
      </c>
      <c r="Q7" s="10">
        <f t="shared" si="6"/>
        <v>7.7134013603935028</v>
      </c>
      <c r="R7" s="10">
        <f t="shared" si="6"/>
        <v>7.8194378027110591</v>
      </c>
      <c r="S7" s="10">
        <f t="shared" si="6"/>
        <v>7.9128714041900263</v>
      </c>
      <c r="T7" s="9">
        <f t="shared" si="4"/>
        <v>8</v>
      </c>
      <c r="U7" s="2">
        <v>9</v>
      </c>
      <c r="W7" s="7" t="s">
        <v>11</v>
      </c>
      <c r="X7" s="8">
        <v>0</v>
      </c>
      <c r="Y7" s="8">
        <v>0.2</v>
      </c>
      <c r="Z7" s="8">
        <v>0.4</v>
      </c>
      <c r="AA7" s="8">
        <v>0.6</v>
      </c>
      <c r="AB7" s="8">
        <v>0.8</v>
      </c>
      <c r="AC7" s="8">
        <v>1</v>
      </c>
      <c r="AD7" s="8">
        <v>1.2</v>
      </c>
      <c r="AE7" s="8">
        <v>1.4</v>
      </c>
      <c r="AF7" s="8">
        <v>1.6</v>
      </c>
      <c r="AG7" s="8">
        <v>1.8</v>
      </c>
      <c r="AH7" s="8">
        <v>2</v>
      </c>
      <c r="AI7" s="8">
        <v>2.2000000000000002</v>
      </c>
      <c r="AJ7" s="8">
        <v>2.4</v>
      </c>
      <c r="AK7" s="8">
        <v>2.6</v>
      </c>
      <c r="AL7" s="8">
        <v>2.8</v>
      </c>
    </row>
    <row r="8" spans="1:38" x14ac:dyDescent="0.3">
      <c r="E8" s="3">
        <v>1.4</v>
      </c>
      <c r="F8" s="9">
        <f t="shared" si="0"/>
        <v>4</v>
      </c>
      <c r="G8" s="10">
        <f t="shared" si="5"/>
        <v>4.0526421072239502</v>
      </c>
      <c r="H8" s="10">
        <f t="shared" si="5"/>
        <v>4.1266346257354556</v>
      </c>
      <c r="I8" s="10">
        <f t="shared" si="5"/>
        <v>4.2517900325777731</v>
      </c>
      <c r="J8" s="10">
        <f t="shared" si="5"/>
        <v>4.4741712384786316</v>
      </c>
      <c r="K8" s="10">
        <f t="shared" si="5"/>
        <v>4.8432372463404292</v>
      </c>
      <c r="L8" s="10">
        <f t="shared" si="5"/>
        <v>5.2420608984132446</v>
      </c>
      <c r="M8" s="10">
        <f t="shared" si="5"/>
        <v>5.6105811530699006</v>
      </c>
      <c r="N8" s="10">
        <f t="shared" si="5"/>
        <v>5.9287079593558296</v>
      </c>
      <c r="O8" s="10">
        <f t="shared" si="5"/>
        <v>6.1944145772594839</v>
      </c>
      <c r="P8" s="10">
        <f t="shared" ref="P8:S8" si="7">0.25*(Q21+O21+P20+P22)</f>
        <v>6.4131647358156858</v>
      </c>
      <c r="Q8" s="10">
        <f t="shared" si="7"/>
        <v>6.593458845075638</v>
      </c>
      <c r="R8" s="10">
        <f t="shared" si="7"/>
        <v>6.7448747083961518</v>
      </c>
      <c r="S8" s="10">
        <f t="shared" si="7"/>
        <v>6.8771790369560843</v>
      </c>
      <c r="T8" s="9">
        <f t="shared" si="4"/>
        <v>7</v>
      </c>
      <c r="U8" s="2">
        <v>8</v>
      </c>
      <c r="W8" s="7" t="s">
        <v>12</v>
      </c>
      <c r="X8" s="8">
        <f>$E$10</f>
        <v>1</v>
      </c>
      <c r="Y8" s="8">
        <f t="shared" ref="Y8:AB8" si="8">$E$10</f>
        <v>1</v>
      </c>
      <c r="Z8" s="8">
        <f t="shared" si="8"/>
        <v>1</v>
      </c>
      <c r="AA8" s="8">
        <f t="shared" si="8"/>
        <v>1</v>
      </c>
      <c r="AB8" s="8">
        <f t="shared" si="8"/>
        <v>1</v>
      </c>
      <c r="AC8" s="8">
        <f>$E$11</f>
        <v>0.8</v>
      </c>
      <c r="AD8" s="8">
        <f>$E$12</f>
        <v>0.6</v>
      </c>
      <c r="AE8" s="8">
        <f>$E$13</f>
        <v>0.4</v>
      </c>
      <c r="AF8" s="8">
        <f>$E$14</f>
        <v>0.2</v>
      </c>
      <c r="AG8" s="8">
        <f>$E$15</f>
        <v>0</v>
      </c>
      <c r="AH8" s="8">
        <f t="shared" ref="AH8:AL8" si="9">$E$15</f>
        <v>0</v>
      </c>
      <c r="AI8" s="8">
        <f t="shared" si="9"/>
        <v>0</v>
      </c>
      <c r="AJ8" s="8">
        <f t="shared" si="9"/>
        <v>0</v>
      </c>
      <c r="AK8" s="8">
        <f t="shared" si="9"/>
        <v>0</v>
      </c>
      <c r="AL8" s="8">
        <f t="shared" si="9"/>
        <v>0</v>
      </c>
    </row>
    <row r="9" spans="1:38" x14ac:dyDescent="0.3">
      <c r="E9" s="3">
        <v>1.2</v>
      </c>
      <c r="F9" s="9">
        <f>F10+$B$4*$B$2</f>
        <v>2</v>
      </c>
      <c r="G9" s="10">
        <f>0.25*(H22+F22+G21+G23)</f>
        <v>2.0354233756575377</v>
      </c>
      <c r="H9" s="10">
        <f t="shared" ref="H9:S10" si="10">0.25*(I22+G22+H21+H23)</f>
        <v>2.0890513972786264</v>
      </c>
      <c r="I9" s="10">
        <f t="shared" si="10"/>
        <v>2.1941475920129463</v>
      </c>
      <c r="J9" s="10">
        <f t="shared" si="10"/>
        <v>2.4357489455736325</v>
      </c>
      <c r="K9" s="10">
        <f t="shared" si="10"/>
        <v>3.074676965093265</v>
      </c>
      <c r="L9" s="10">
        <f t="shared" si="10"/>
        <v>3.6922984953129094</v>
      </c>
      <c r="M9" s="10">
        <f t="shared" si="10"/>
        <v>4.2174403187837566</v>
      </c>
      <c r="N9" s="10">
        <f t="shared" si="10"/>
        <v>4.6482311415195543</v>
      </c>
      <c r="O9" s="10">
        <f t="shared" si="10"/>
        <v>4.9963791043907086</v>
      </c>
      <c r="P9" s="10">
        <f t="shared" ref="P9:S9" si="11">0.25*(Q22+O22+P21+P23)</f>
        <v>5.2761852205341135</v>
      </c>
      <c r="Q9" s="10">
        <f t="shared" si="11"/>
        <v>5.50239462293953</v>
      </c>
      <c r="R9" s="10">
        <f t="shared" si="11"/>
        <v>5.6894231822131873</v>
      </c>
      <c r="S9" s="10">
        <f t="shared" si="11"/>
        <v>5.8509700535376439</v>
      </c>
      <c r="T9" s="9">
        <f t="shared" si="4"/>
        <v>6</v>
      </c>
      <c r="U9" s="2">
        <v>7</v>
      </c>
      <c r="W9" s="7" t="s">
        <v>0</v>
      </c>
      <c r="X9" s="8">
        <f>F36</f>
        <v>10</v>
      </c>
      <c r="Y9" s="8">
        <f t="shared" ref="Y9:AA9" si="12">G36</f>
        <v>10.177116878287688</v>
      </c>
      <c r="Z9" s="8">
        <f t="shared" si="12"/>
        <v>10.445256986393131</v>
      </c>
      <c r="AA9" s="8">
        <f>I36</f>
        <v>10.970737960064731</v>
      </c>
      <c r="AB9" s="8">
        <f>J36</f>
        <v>12.178744727868162</v>
      </c>
      <c r="AC9" s="8">
        <f>K37</f>
        <v>6.6371159841840539</v>
      </c>
      <c r="AD9" s="8">
        <f>L38</f>
        <v>5.0084557513483352</v>
      </c>
      <c r="AE9" s="8">
        <f>M39</f>
        <v>3.9931583018362518</v>
      </c>
      <c r="AF9" s="8">
        <f>N40</f>
        <v>3.1416986008664374</v>
      </c>
      <c r="AG9" s="8">
        <f>O41</f>
        <v>2.1832321548737119</v>
      </c>
      <c r="AH9" s="8">
        <f t="shared" ref="AH9:AL9" si="13">P41</f>
        <v>3.2800235807708034</v>
      </c>
      <c r="AI9" s="8">
        <f t="shared" si="13"/>
        <v>3.9307642443981137</v>
      </c>
      <c r="AJ9" s="8">
        <f t="shared" si="13"/>
        <v>4.37132574084578</v>
      </c>
      <c r="AK9" s="8">
        <f t="shared" si="13"/>
        <v>4.7077636928333977</v>
      </c>
      <c r="AL9" s="8">
        <f t="shared" si="13"/>
        <v>5</v>
      </c>
    </row>
    <row r="10" spans="1:38" x14ac:dyDescent="0.3">
      <c r="A10" s="1" t="s">
        <v>6</v>
      </c>
      <c r="B10" s="1">
        <v>300</v>
      </c>
      <c r="C10">
        <v>301</v>
      </c>
      <c r="E10" s="3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10">
        <f t="shared" si="10"/>
        <v>1.3274231968368109</v>
      </c>
      <c r="L10" s="10">
        <f t="shared" si="10"/>
        <v>2.2350158367471851</v>
      </c>
      <c r="M10" s="10">
        <f t="shared" si="10"/>
        <v>2.9186505336921007</v>
      </c>
      <c r="N10" s="10">
        <f t="shared" si="10"/>
        <v>3.4503972432120231</v>
      </c>
      <c r="O10" s="10">
        <f t="shared" si="10"/>
        <v>3.8666855400022944</v>
      </c>
      <c r="P10" s="10">
        <f t="shared" ref="P10:S10" si="14">0.25*(Q23+O23+P22+P24)</f>
        <v>4.1928024812333842</v>
      </c>
      <c r="Q10" s="10">
        <f t="shared" si="14"/>
        <v>4.4505112959102648</v>
      </c>
      <c r="R10" s="10">
        <f t="shared" si="14"/>
        <v>4.6594533836769916</v>
      </c>
      <c r="S10" s="10">
        <f t="shared" si="14"/>
        <v>4.8372780152641415</v>
      </c>
      <c r="T10" s="9">
        <f t="shared" si="4"/>
        <v>5</v>
      </c>
      <c r="U10" s="2">
        <v>6</v>
      </c>
      <c r="W10" s="7" t="s">
        <v>1</v>
      </c>
      <c r="X10" s="8">
        <f>F49</f>
        <v>0</v>
      </c>
      <c r="Y10" s="8">
        <f t="shared" ref="Y10:AB10" si="15">G49</f>
        <v>0</v>
      </c>
      <c r="Z10" s="8">
        <f t="shared" si="15"/>
        <v>0</v>
      </c>
      <c r="AA10" s="8">
        <f t="shared" si="15"/>
        <v>0</v>
      </c>
      <c r="AB10" s="8">
        <f t="shared" si="15"/>
        <v>-3.3185579828514533</v>
      </c>
      <c r="AC10" s="8">
        <f>K50</f>
        <v>-5.0084557299208639</v>
      </c>
      <c r="AD10" s="8">
        <f>L51</f>
        <v>-3.9931582798353951</v>
      </c>
      <c r="AE10" s="8">
        <f>M52</f>
        <v>-3.1416985814568066</v>
      </c>
      <c r="AF10" s="8">
        <f>N53</f>
        <v>-2.1832321413793334</v>
      </c>
      <c r="AG10" s="8">
        <f>O54</f>
        <v>0</v>
      </c>
      <c r="AH10" s="8">
        <f t="shared" ref="AH10:AL10" si="16">P54</f>
        <v>0</v>
      </c>
      <c r="AI10" s="8">
        <f t="shared" si="16"/>
        <v>0</v>
      </c>
      <c r="AJ10" s="8">
        <f t="shared" si="16"/>
        <v>0</v>
      </c>
      <c r="AK10" s="8">
        <f t="shared" si="16"/>
        <v>0</v>
      </c>
      <c r="AL10" s="8">
        <f t="shared" si="16"/>
        <v>0</v>
      </c>
    </row>
    <row r="11" spans="1:38" x14ac:dyDescent="0.3">
      <c r="E11" s="3">
        <v>0.8</v>
      </c>
      <c r="F11" s="11"/>
      <c r="G11" s="11"/>
      <c r="H11" s="11"/>
      <c r="I11" s="11"/>
      <c r="J11" s="11"/>
      <c r="K11" s="9">
        <v>0</v>
      </c>
      <c r="L11" s="10">
        <f t="shared" ref="L11:O11" si="17">0.25*(M24+K24+L23+L25)</f>
        <v>1.001691150269667</v>
      </c>
      <c r="M11" s="10">
        <f t="shared" si="17"/>
        <v>1.7717487811352437</v>
      </c>
      <c r="N11" s="10">
        <f t="shared" si="17"/>
        <v>2.3680218123223709</v>
      </c>
      <c r="O11" s="10">
        <f t="shared" si="17"/>
        <v>2.8271633940955141</v>
      </c>
      <c r="P11" s="10">
        <f t="shared" ref="P11:S11" si="18">0.25*(Q24+O24+P23+P25)</f>
        <v>3.1778279285733579</v>
      </c>
      <c r="Q11" s="10">
        <f t="shared" si="18"/>
        <v>3.4473947504067914</v>
      </c>
      <c r="R11" s="10">
        <f t="shared" si="18"/>
        <v>3.6606010803496543</v>
      </c>
      <c r="S11" s="10">
        <f t="shared" si="18"/>
        <v>3.8386886453754734</v>
      </c>
      <c r="T11" s="9">
        <f t="shared" si="4"/>
        <v>4</v>
      </c>
      <c r="U11" s="2">
        <v>5</v>
      </c>
      <c r="W11" s="7" t="s">
        <v>13</v>
      </c>
      <c r="X11" s="8">
        <f>F62</f>
        <v>10</v>
      </c>
      <c r="Y11" s="8">
        <f t="shared" ref="Y11:AB11" si="19">G62</f>
        <v>10.177116878287688</v>
      </c>
      <c r="Z11" s="8">
        <f t="shared" si="19"/>
        <v>10.445256986393131</v>
      </c>
      <c r="AA11" s="8">
        <f t="shared" si="19"/>
        <v>10.970737960064731</v>
      </c>
      <c r="AB11" s="8">
        <f t="shared" si="19"/>
        <v>12.622782982849847</v>
      </c>
      <c r="AC11" s="8">
        <f>K63</f>
        <v>8.3148023058933038</v>
      </c>
      <c r="AD11" s="8">
        <f>L64</f>
        <v>6.4054618928717533</v>
      </c>
      <c r="AE11" s="8">
        <f>M65</f>
        <v>5.0809037778973423</v>
      </c>
      <c r="AF11" s="8">
        <f>N66</f>
        <v>3.825803534139975</v>
      </c>
      <c r="AG11" s="8">
        <f>O67</f>
        <v>2.1832321548737119</v>
      </c>
      <c r="AH11" s="8">
        <f t="shared" ref="AH11:AL11" si="20">P67</f>
        <v>3.2800235807708034</v>
      </c>
      <c r="AI11" s="8">
        <f t="shared" si="20"/>
        <v>3.9307642443981137</v>
      </c>
      <c r="AJ11" s="8">
        <f t="shared" si="20"/>
        <v>4.37132574084578</v>
      </c>
      <c r="AK11" s="8">
        <f t="shared" si="20"/>
        <v>4.7077636928333977</v>
      </c>
      <c r="AL11" s="8">
        <f t="shared" si="20"/>
        <v>5</v>
      </c>
    </row>
    <row r="12" spans="1:38" x14ac:dyDescent="0.3">
      <c r="A12" s="1" t="s">
        <v>7</v>
      </c>
      <c r="B12" s="1">
        <v>15</v>
      </c>
      <c r="E12" s="3">
        <v>0.6</v>
      </c>
      <c r="F12" s="11"/>
      <c r="G12" s="11"/>
      <c r="H12" s="11"/>
      <c r="I12" s="11"/>
      <c r="J12" s="11"/>
      <c r="K12" s="11"/>
      <c r="L12" s="9">
        <v>0</v>
      </c>
      <c r="M12" s="10">
        <f t="shared" ref="M12:O12" si="21">0.25*(N25+L25+M24+M26)</f>
        <v>0.79863166036725042</v>
      </c>
      <c r="N12" s="10">
        <f t="shared" si="21"/>
        <v>1.4227778775871753</v>
      </c>
      <c r="O12" s="10">
        <f t="shared" si="21"/>
        <v>1.8961183482470991</v>
      </c>
      <c r="P12" s="10">
        <f t="shared" ref="P12:S12" si="22">0.25*(Q25+O25+P24+P26)</f>
        <v>2.2439511443806652</v>
      </c>
      <c r="Q12" s="10">
        <f t="shared" si="22"/>
        <v>2.5006387447232661</v>
      </c>
      <c r="R12" s="10">
        <f t="shared" si="22"/>
        <v>2.6968675791294765</v>
      </c>
      <c r="S12" s="10">
        <f t="shared" si="22"/>
        <v>2.8568755050445516</v>
      </c>
      <c r="T12" s="9">
        <f t="shared" si="4"/>
        <v>3</v>
      </c>
      <c r="U12" s="2">
        <v>4</v>
      </c>
      <c r="W12" s="7" t="s">
        <v>14</v>
      </c>
      <c r="X12" s="1">
        <f>B5</f>
        <v>101325</v>
      </c>
      <c r="Y12" s="1">
        <f>(X12+(X11^2)/2)-(Y11^2)/2</f>
        <v>101323.21314602284</v>
      </c>
      <c r="Z12" s="1">
        <f t="shared" ref="Z12:AL12" si="23">(Y12+(Y11^2)/2)-(Z11^2)/2</f>
        <v>101320.44830324411</v>
      </c>
      <c r="AA12" s="1">
        <f t="shared" si="23"/>
        <v>101314.8214543058</v>
      </c>
      <c r="AB12" s="1">
        <f t="shared" si="23"/>
        <v>101295.33267488393</v>
      </c>
      <c r="AC12" s="1">
        <f t="shared" si="23"/>
        <v>101340.43203130696</v>
      </c>
      <c r="AD12" s="1">
        <f t="shared" si="23"/>
        <v>101354.48502896949</v>
      </c>
      <c r="AE12" s="1">
        <f t="shared" si="23"/>
        <v>101362.09220839987</v>
      </c>
      <c r="AF12" s="1">
        <f t="shared" si="23"/>
        <v>101367.68161365908</v>
      </c>
      <c r="AG12" s="1">
        <f t="shared" si="23"/>
        <v>101372.61674867896</v>
      </c>
      <c r="AH12" s="1">
        <f t="shared" si="23"/>
        <v>101369.6207226548</v>
      </c>
      <c r="AI12" s="1">
        <f t="shared" si="23"/>
        <v>101367.27454622748</v>
      </c>
      <c r="AJ12" s="1">
        <f t="shared" si="23"/>
        <v>101365.44575563371</v>
      </c>
      <c r="AK12" s="1">
        <f t="shared" si="23"/>
        <v>101363.91848050623</v>
      </c>
      <c r="AL12" s="1">
        <f t="shared" si="23"/>
        <v>101362.5</v>
      </c>
    </row>
    <row r="13" spans="1:38" x14ac:dyDescent="0.3">
      <c r="A13" s="1" t="s">
        <v>8</v>
      </c>
      <c r="B13" s="1">
        <v>11</v>
      </c>
      <c r="E13" s="3">
        <v>0.4</v>
      </c>
      <c r="F13" s="11"/>
      <c r="G13" s="11"/>
      <c r="H13" s="11"/>
      <c r="I13" s="11"/>
      <c r="J13" s="11"/>
      <c r="K13" s="11"/>
      <c r="L13" s="11"/>
      <c r="M13" s="9">
        <v>0</v>
      </c>
      <c r="N13" s="10">
        <f t="shared" ref="N13:O13" si="24">0.25*(O26+M26+N25+N27)</f>
        <v>0.62833972017328754</v>
      </c>
      <c r="O13" s="10">
        <f t="shared" si="24"/>
        <v>1.0905810183273119</v>
      </c>
      <c r="P13" s="10">
        <f t="shared" ref="P13:S13" si="25">0.25*(Q26+O26+P25+P27)</f>
        <v>1.4012195986196017</v>
      </c>
      <c r="Q13" s="10">
        <f t="shared" si="25"/>
        <v>1.6143415452822971</v>
      </c>
      <c r="R13" s="10">
        <f t="shared" si="25"/>
        <v>1.7693550158066962</v>
      </c>
      <c r="S13" s="10">
        <f t="shared" si="25"/>
        <v>1.8919458120635431</v>
      </c>
      <c r="T13" s="9">
        <f t="shared" si="4"/>
        <v>2</v>
      </c>
      <c r="U13" s="2">
        <v>3</v>
      </c>
      <c r="W13" s="7" t="s">
        <v>15</v>
      </c>
      <c r="X13" s="1">
        <f>(X12-$B$5)/(($B$4^2)/2)</f>
        <v>0</v>
      </c>
      <c r="Y13" s="1">
        <f t="shared" ref="Y13:AL13" si="26">(Y12-$B$5)/(($B$4^2)/2)</f>
        <v>-3.5737079543177973E-2</v>
      </c>
      <c r="Z13" s="1">
        <f t="shared" si="26"/>
        <v>-9.1033935117884546E-2</v>
      </c>
      <c r="AA13" s="1">
        <f t="shared" si="26"/>
        <v>-0.20357091388403206</v>
      </c>
      <c r="AB13" s="1">
        <f t="shared" si="26"/>
        <v>-0.59334650232136488</v>
      </c>
      <c r="AC13" s="1">
        <f t="shared" si="26"/>
        <v>0.30864062613924031</v>
      </c>
      <c r="AD13" s="1">
        <f t="shared" si="26"/>
        <v>0.58970057938975518</v>
      </c>
      <c r="AE13" s="1">
        <f t="shared" si="26"/>
        <v>0.74184416799747854</v>
      </c>
      <c r="AF13" s="1">
        <f t="shared" si="26"/>
        <v>0.85363227318157442</v>
      </c>
      <c r="AG13" s="1">
        <f t="shared" si="26"/>
        <v>0.95233497357927266</v>
      </c>
      <c r="AH13" s="1">
        <f t="shared" si="26"/>
        <v>0.89241445309598932</v>
      </c>
      <c r="AI13" s="1">
        <f t="shared" si="26"/>
        <v>0.84549092454952191</v>
      </c>
      <c r="AJ13" s="1">
        <f t="shared" si="26"/>
        <v>0.8089151126742945</v>
      </c>
      <c r="AK13" s="1">
        <f t="shared" si="26"/>
        <v>0.77836961012450046</v>
      </c>
      <c r="AL13" s="1">
        <f t="shared" si="26"/>
        <v>0.75</v>
      </c>
    </row>
    <row r="14" spans="1:38" x14ac:dyDescent="0.3">
      <c r="A14" s="1" t="s">
        <v>9</v>
      </c>
      <c r="B14" s="1">
        <v>15</v>
      </c>
      <c r="E14" s="3">
        <v>0.2</v>
      </c>
      <c r="F14" s="11"/>
      <c r="G14" s="11"/>
      <c r="H14" s="11"/>
      <c r="I14" s="11"/>
      <c r="J14" s="11"/>
      <c r="K14" s="11"/>
      <c r="L14" s="11"/>
      <c r="M14" s="11"/>
      <c r="N14" s="9">
        <v>0</v>
      </c>
      <c r="O14" s="10">
        <f t="shared" ref="O14:S14" si="27">0.25*(P27+N27+O26+O28)</f>
        <v>0.43664643097474237</v>
      </c>
      <c r="P14" s="10">
        <f t="shared" si="27"/>
        <v>0.65600471615416067</v>
      </c>
      <c r="Q14" s="10">
        <f t="shared" si="27"/>
        <v>0.78615284887962278</v>
      </c>
      <c r="R14" s="10">
        <f t="shared" si="27"/>
        <v>0.87426514816915613</v>
      </c>
      <c r="S14" s="10">
        <f t="shared" si="27"/>
        <v>0.94155273856667954</v>
      </c>
      <c r="T14" s="9">
        <f>T15+$B$6*$B$2</f>
        <v>1</v>
      </c>
      <c r="U14" s="2">
        <v>2</v>
      </c>
      <c r="W14" s="14" t="s">
        <v>17</v>
      </c>
      <c r="X14" s="15"/>
    </row>
    <row r="15" spans="1:38" x14ac:dyDescent="0.3">
      <c r="A15" s="1"/>
      <c r="B15" s="1">
        <v>6</v>
      </c>
      <c r="E15" s="3">
        <v>0</v>
      </c>
      <c r="F15" s="11"/>
      <c r="G15" s="11"/>
      <c r="H15" s="11"/>
      <c r="I15" s="11"/>
      <c r="J15" s="11"/>
      <c r="K15" s="11"/>
      <c r="L15" s="11"/>
      <c r="M15" s="11"/>
      <c r="N15" s="11"/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2">
        <v>1</v>
      </c>
      <c r="W15" s="1">
        <v>0</v>
      </c>
      <c r="X15" s="1">
        <v>1</v>
      </c>
      <c r="Y15" s="1">
        <v>2</v>
      </c>
      <c r="Z15" s="1">
        <v>3</v>
      </c>
      <c r="AA15" s="1">
        <v>4</v>
      </c>
      <c r="AB15" s="1">
        <v>5</v>
      </c>
      <c r="AC15" s="1">
        <v>6</v>
      </c>
      <c r="AD15" s="1">
        <v>7</v>
      </c>
      <c r="AE15" s="1">
        <v>8</v>
      </c>
      <c r="AF15" s="1">
        <v>9</v>
      </c>
      <c r="AG15" s="1">
        <v>10</v>
      </c>
      <c r="AH15" s="1">
        <v>11</v>
      </c>
      <c r="AI15" s="1">
        <v>12</v>
      </c>
      <c r="AJ15" s="1">
        <v>13</v>
      </c>
      <c r="AK15" s="1">
        <v>14</v>
      </c>
      <c r="AL15" s="1">
        <v>15</v>
      </c>
    </row>
    <row r="16" spans="1:38" x14ac:dyDescent="0.3">
      <c r="A16" s="6" t="s">
        <v>10</v>
      </c>
      <c r="B16" s="1">
        <v>0</v>
      </c>
      <c r="F16" s="3">
        <v>0</v>
      </c>
      <c r="G16" s="3">
        <v>0.2</v>
      </c>
      <c r="H16" s="3">
        <v>0.4</v>
      </c>
      <c r="I16" s="3">
        <v>0.6</v>
      </c>
      <c r="J16" s="3">
        <v>0.8</v>
      </c>
      <c r="K16" s="3">
        <v>1</v>
      </c>
      <c r="L16" s="3">
        <v>1.2</v>
      </c>
      <c r="M16" s="3">
        <v>1.4</v>
      </c>
      <c r="N16" s="3">
        <v>1.6</v>
      </c>
      <c r="O16" s="3">
        <v>1.8</v>
      </c>
      <c r="P16" s="3">
        <v>2</v>
      </c>
      <c r="Q16" s="3">
        <v>2.2000000000000002</v>
      </c>
      <c r="R16" s="3">
        <v>2.4</v>
      </c>
      <c r="S16" s="3">
        <v>2.6</v>
      </c>
      <c r="T16" s="3">
        <v>2.8</v>
      </c>
      <c r="W16" s="7" t="s">
        <v>10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</row>
    <row r="17" spans="4:38" x14ac:dyDescent="0.3">
      <c r="W17" s="7" t="s">
        <v>11</v>
      </c>
      <c r="X17" s="8">
        <v>0</v>
      </c>
      <c r="Y17" s="8">
        <v>0.2</v>
      </c>
      <c r="Z17" s="8">
        <v>0.4</v>
      </c>
      <c r="AA17" s="8">
        <v>0.6</v>
      </c>
      <c r="AB17" s="8">
        <v>0.8</v>
      </c>
      <c r="AC17" s="8">
        <v>1</v>
      </c>
      <c r="AD17" s="8">
        <v>1.2</v>
      </c>
      <c r="AE17" s="8">
        <v>1.4</v>
      </c>
      <c r="AF17" s="8">
        <v>1.6</v>
      </c>
      <c r="AG17" s="8">
        <v>1.8</v>
      </c>
      <c r="AH17" s="8">
        <v>2</v>
      </c>
      <c r="AI17" s="8">
        <v>2.2000000000000002</v>
      </c>
      <c r="AJ17" s="8">
        <v>2.4</v>
      </c>
      <c r="AK17" s="8">
        <v>2.6</v>
      </c>
      <c r="AL17" s="8">
        <v>2.8</v>
      </c>
    </row>
    <row r="18" spans="4:38" x14ac:dyDescent="0.3">
      <c r="E18" s="3">
        <v>2</v>
      </c>
      <c r="F18" s="12">
        <v>10</v>
      </c>
      <c r="G18" s="12">
        <v>10</v>
      </c>
      <c r="H18" s="12">
        <v>10</v>
      </c>
      <c r="I18" s="12">
        <v>10</v>
      </c>
      <c r="J18" s="12">
        <v>10</v>
      </c>
      <c r="K18" s="12">
        <v>10</v>
      </c>
      <c r="L18" s="12">
        <v>10</v>
      </c>
      <c r="M18" s="12">
        <v>10</v>
      </c>
      <c r="N18" s="12">
        <v>10</v>
      </c>
      <c r="O18" s="12">
        <v>10</v>
      </c>
      <c r="P18" s="12">
        <v>10</v>
      </c>
      <c r="Q18" s="12">
        <v>10</v>
      </c>
      <c r="R18" s="12">
        <v>10</v>
      </c>
      <c r="S18" s="12">
        <v>10</v>
      </c>
      <c r="T18" s="12">
        <v>10</v>
      </c>
      <c r="W18" s="7" t="s">
        <v>12</v>
      </c>
      <c r="X18" s="8">
        <v>2</v>
      </c>
      <c r="Y18" s="8">
        <v>2</v>
      </c>
      <c r="Z18" s="8">
        <v>2</v>
      </c>
      <c r="AA18" s="8">
        <v>2</v>
      </c>
      <c r="AB18" s="8">
        <v>2</v>
      </c>
      <c r="AC18" s="8">
        <v>2</v>
      </c>
      <c r="AD18" s="8">
        <v>2</v>
      </c>
      <c r="AE18" s="8">
        <v>2</v>
      </c>
      <c r="AF18" s="8">
        <v>2</v>
      </c>
      <c r="AG18" s="8">
        <v>2</v>
      </c>
      <c r="AH18" s="8">
        <v>2</v>
      </c>
      <c r="AI18" s="8">
        <v>2</v>
      </c>
      <c r="AJ18" s="8">
        <v>2</v>
      </c>
      <c r="AK18" s="8">
        <v>2</v>
      </c>
      <c r="AL18" s="8">
        <v>2</v>
      </c>
    </row>
    <row r="19" spans="4:38" x14ac:dyDescent="0.3">
      <c r="E19" s="3">
        <v>1.8</v>
      </c>
      <c r="F19" s="12">
        <v>8</v>
      </c>
      <c r="G19" s="8">
        <v>8.0283446451390201</v>
      </c>
      <c r="H19" s="8">
        <v>8.0648681526173505</v>
      </c>
      <c r="I19" s="8">
        <v>8.1180729987453777</v>
      </c>
      <c r="J19" s="8">
        <v>8.195217166158649</v>
      </c>
      <c r="K19" s="8">
        <v>8.2968869331178503</v>
      </c>
      <c r="L19" s="8">
        <v>8.4102906749091311</v>
      </c>
      <c r="M19" s="8">
        <v>8.5221490566086295</v>
      </c>
      <c r="N19" s="8">
        <v>8.6241900986107414</v>
      </c>
      <c r="O19" s="8">
        <v>8.7130063540493303</v>
      </c>
      <c r="P19" s="8">
        <v>8.7884287858070635</v>
      </c>
      <c r="Q19" s="8">
        <v>8.8521084694366348</v>
      </c>
      <c r="R19" s="8">
        <v>8.906603759874983</v>
      </c>
      <c r="S19" s="8">
        <v>8.9548687882918756</v>
      </c>
      <c r="T19" s="12">
        <v>9</v>
      </c>
      <c r="W19" s="7" t="s">
        <v>0</v>
      </c>
      <c r="X19" s="8">
        <f>F31</f>
        <v>10</v>
      </c>
      <c r="Y19" s="8">
        <f t="shared" ref="Y19:AL19" si="28">G31</f>
        <v>9.8582767720164544</v>
      </c>
      <c r="Z19" s="8">
        <f t="shared" si="28"/>
        <v>9.6756592318592016</v>
      </c>
      <c r="AA19" s="8">
        <f t="shared" si="28"/>
        <v>9.4096349982475758</v>
      </c>
      <c r="AB19" s="8">
        <f t="shared" si="28"/>
        <v>9.0239141568272885</v>
      </c>
      <c r="AC19" s="8">
        <f t="shared" si="28"/>
        <v>8.515565317869811</v>
      </c>
      <c r="AD19" s="8">
        <f t="shared" si="28"/>
        <v>7.948546603295723</v>
      </c>
      <c r="AE19" s="8">
        <f t="shared" si="28"/>
        <v>7.3892546913112511</v>
      </c>
      <c r="AF19" s="8">
        <f t="shared" si="28"/>
        <v>6.8790494772925292</v>
      </c>
      <c r="AG19" s="8">
        <f t="shared" si="28"/>
        <v>6.4349682002551312</v>
      </c>
      <c r="AH19" s="8">
        <f t="shared" si="28"/>
        <v>6.057856041978873</v>
      </c>
      <c r="AI19" s="8">
        <f t="shared" si="28"/>
        <v>5.7394576290018229</v>
      </c>
      <c r="AJ19" s="8">
        <f t="shared" si="28"/>
        <v>5.4669811826154913</v>
      </c>
      <c r="AK19" s="8">
        <f t="shared" si="28"/>
        <v>5.2256560493881921</v>
      </c>
      <c r="AL19" s="8">
        <f t="shared" si="28"/>
        <v>5</v>
      </c>
    </row>
    <row r="20" spans="4:38" x14ac:dyDescent="0.3">
      <c r="E20" s="3">
        <v>1.6</v>
      </c>
      <c r="F20" s="12">
        <v>6</v>
      </c>
      <c r="G20" s="8">
        <v>6.0485104297694843</v>
      </c>
      <c r="H20" s="8">
        <v>6.1130549706282409</v>
      </c>
      <c r="I20" s="8">
        <v>6.2122066826259434</v>
      </c>
      <c r="J20" s="8">
        <v>6.3659087426749377</v>
      </c>
      <c r="K20" s="8">
        <v>6.5820399046363747</v>
      </c>
      <c r="L20" s="8">
        <v>6.8221267276369444</v>
      </c>
      <c r="M20" s="8">
        <v>7.0541154734311267</v>
      </c>
      <c r="N20" s="8">
        <v>7.261605007508015</v>
      </c>
      <c r="O20" s="8">
        <v>7.4394065553780901</v>
      </c>
      <c r="P20" s="8">
        <v>7.5886003429309392</v>
      </c>
      <c r="Q20" s="8">
        <v>7.7134013511164916</v>
      </c>
      <c r="R20" s="8">
        <v>7.8194377961790948</v>
      </c>
      <c r="S20" s="8">
        <v>7.9128714006144643</v>
      </c>
      <c r="T20" s="12">
        <v>8</v>
      </c>
      <c r="W20" s="7" t="s">
        <v>1</v>
      </c>
      <c r="X20" s="8">
        <f>F44</f>
        <v>0</v>
      </c>
      <c r="Y20" s="8">
        <f t="shared" ref="Y20:AL20" si="29">G44</f>
        <v>0</v>
      </c>
      <c r="Z20" s="8">
        <f t="shared" si="29"/>
        <v>0</v>
      </c>
      <c r="AA20" s="8">
        <f t="shared" si="29"/>
        <v>0</v>
      </c>
      <c r="AB20" s="8">
        <f t="shared" si="29"/>
        <v>0</v>
      </c>
      <c r="AC20" s="8">
        <f t="shared" si="29"/>
        <v>0</v>
      </c>
      <c r="AD20" s="8">
        <f t="shared" si="29"/>
        <v>0</v>
      </c>
      <c r="AE20" s="8">
        <f t="shared" si="29"/>
        <v>0</v>
      </c>
      <c r="AF20" s="8">
        <f t="shared" si="29"/>
        <v>0</v>
      </c>
      <c r="AG20" s="8">
        <f t="shared" si="29"/>
        <v>0</v>
      </c>
      <c r="AH20" s="8">
        <f t="shared" si="29"/>
        <v>0</v>
      </c>
      <c r="AI20" s="8">
        <f t="shared" si="29"/>
        <v>0</v>
      </c>
      <c r="AJ20" s="8">
        <f t="shared" si="29"/>
        <v>0</v>
      </c>
      <c r="AK20" s="8">
        <f t="shared" si="29"/>
        <v>0</v>
      </c>
      <c r="AL20" s="8">
        <f t="shared" si="29"/>
        <v>0</v>
      </c>
    </row>
    <row r="21" spans="4:38" x14ac:dyDescent="0.3">
      <c r="E21" s="3">
        <v>1.4</v>
      </c>
      <c r="F21" s="12">
        <v>4</v>
      </c>
      <c r="G21" s="8">
        <v>4.0526421064459752</v>
      </c>
      <c r="H21" s="8">
        <v>4.1266346239826159</v>
      </c>
      <c r="I21" s="8">
        <v>4.2517900296834323</v>
      </c>
      <c r="J21" s="8">
        <v>4.474171233714344</v>
      </c>
      <c r="K21" s="8">
        <v>4.8432372393719767</v>
      </c>
      <c r="L21" s="8">
        <v>5.2420608884190019</v>
      </c>
      <c r="M21" s="8">
        <v>5.6105811409677333</v>
      </c>
      <c r="N21" s="8">
        <v>5.9287079449440832</v>
      </c>
      <c r="O21" s="8">
        <v>6.1944145626442637</v>
      </c>
      <c r="P21" s="8">
        <v>6.4131647212713627</v>
      </c>
      <c r="Q21" s="8">
        <v>6.5934588330273396</v>
      </c>
      <c r="R21" s="8">
        <v>6.7448746992382995</v>
      </c>
      <c r="S21" s="8">
        <v>6.877179032289134</v>
      </c>
      <c r="T21" s="12">
        <v>7</v>
      </c>
      <c r="W21" s="7" t="s">
        <v>13</v>
      </c>
      <c r="X21" s="8">
        <f>F57</f>
        <v>10</v>
      </c>
      <c r="Y21" s="8">
        <f t="shared" ref="Y21:AL21" si="30">G57</f>
        <v>9.8582767720164544</v>
      </c>
      <c r="Z21" s="8">
        <f t="shared" si="30"/>
        <v>9.6756592318592016</v>
      </c>
      <c r="AA21" s="8">
        <f t="shared" si="30"/>
        <v>9.4096349982475758</v>
      </c>
      <c r="AB21" s="8">
        <f t="shared" si="30"/>
        <v>9.0239141568272885</v>
      </c>
      <c r="AC21" s="8">
        <f t="shared" si="30"/>
        <v>8.515565317869811</v>
      </c>
      <c r="AD21" s="8">
        <f t="shared" si="30"/>
        <v>7.948546603295723</v>
      </c>
      <c r="AE21" s="8">
        <f t="shared" si="30"/>
        <v>7.3892546913112511</v>
      </c>
      <c r="AF21" s="8">
        <f t="shared" si="30"/>
        <v>6.8790494772925292</v>
      </c>
      <c r="AG21" s="8">
        <f t="shared" si="30"/>
        <v>6.4349682002551312</v>
      </c>
      <c r="AH21" s="8">
        <f t="shared" si="30"/>
        <v>6.057856041978873</v>
      </c>
      <c r="AI21" s="8">
        <f t="shared" si="30"/>
        <v>5.7394576290018229</v>
      </c>
      <c r="AJ21" s="8">
        <f t="shared" si="30"/>
        <v>5.4669811826154913</v>
      </c>
      <c r="AK21" s="8">
        <f t="shared" si="30"/>
        <v>5.2256560493881921</v>
      </c>
      <c r="AL21" s="8">
        <f t="shared" si="30"/>
        <v>5</v>
      </c>
    </row>
    <row r="22" spans="4:38" x14ac:dyDescent="0.3">
      <c r="E22" s="3">
        <v>1.2</v>
      </c>
      <c r="F22" s="12">
        <v>2</v>
      </c>
      <c r="G22" s="8">
        <v>2.0354233751437012</v>
      </c>
      <c r="H22" s="8">
        <v>2.0890513961841743</v>
      </c>
      <c r="I22" s="8">
        <v>2.194147589988189</v>
      </c>
      <c r="J22" s="8">
        <v>2.4357489421841789</v>
      </c>
      <c r="K22" s="8">
        <v>3.0746769585919971</v>
      </c>
      <c r="L22" s="8">
        <v>3.6922984856763237</v>
      </c>
      <c r="M22" s="8">
        <v>4.2174403054853933</v>
      </c>
      <c r="N22" s="8">
        <v>4.6482311263033074</v>
      </c>
      <c r="O22" s="8">
        <v>4.9963790874444003</v>
      </c>
      <c r="P22" s="8">
        <v>5.2761852046602016</v>
      </c>
      <c r="Q22" s="8">
        <v>5.5023946086763953</v>
      </c>
      <c r="R22" s="8">
        <v>5.6894231720890414</v>
      </c>
      <c r="S22" s="8">
        <v>5.8509700479715772</v>
      </c>
      <c r="T22" s="12">
        <v>6</v>
      </c>
      <c r="W22" s="7" t="s">
        <v>14</v>
      </c>
      <c r="X22" s="1">
        <f>B5</f>
        <v>101325</v>
      </c>
      <c r="Y22" s="1">
        <f>(X22+(X21^2)/2)-(Y21^2)/2</f>
        <v>101326.40718954316</v>
      </c>
      <c r="Z22" s="1">
        <f t="shared" ref="Z22" si="31">(Y22+(Y21^2)/2)-(Z21^2)/2</f>
        <v>101328.19080921447</v>
      </c>
      <c r="AA22" s="1">
        <f t="shared" ref="AA22" si="32">(Z22+(Z21^2)/2)-(AA21^2)/2</f>
        <v>101330.72938459988</v>
      </c>
      <c r="AB22" s="1">
        <f t="shared" ref="AB22" si="33">(AA22+(AA21^2)/2)-(AB21^2)/2</f>
        <v>101334.28448664511</v>
      </c>
      <c r="AC22" s="1">
        <f t="shared" ref="AC22" si="34">(AB22+(AB21^2)/2)-(AC21^2)/2</f>
        <v>101338.74257365854</v>
      </c>
      <c r="AD22" s="1">
        <f t="shared" ref="AD22" si="35">(AC22+(AC21^2)/2)-(AD21^2)/2</f>
        <v>101343.41030344761</v>
      </c>
      <c r="AE22" s="1">
        <f t="shared" ref="AE22" si="36">(AD22+(AD21^2)/2)-(AE21^2)/2</f>
        <v>101347.69945755346</v>
      </c>
      <c r="AF22" s="1">
        <f t="shared" ref="AF22" si="37">(AE22+(AE21^2)/2)-(AF21^2)/2</f>
        <v>101351.33933914448</v>
      </c>
      <c r="AG22" s="1">
        <f t="shared" ref="AG22" si="38">(AF22+(AF21^2)/2)-(AG21^2)/2</f>
        <v>101354.29559213085</v>
      </c>
      <c r="AH22" s="1">
        <f t="shared" ref="AH22" si="39">(AG22+(AG21^2)/2)-(AH21^2)/2</f>
        <v>101356.65119008733</v>
      </c>
      <c r="AI22" s="1">
        <f t="shared" ref="AI22" si="40">(AH22+(AH21^2)/2)-(AI21^2)/2</f>
        <v>101358.52931306245</v>
      </c>
      <c r="AJ22" s="1">
        <f t="shared" ref="AJ22" si="41">(AI22+(AI21^2)/2)-(AJ21^2)/2</f>
        <v>101360.05605837447</v>
      </c>
      <c r="AK22" s="1">
        <f t="shared" ref="AK22" si="42">(AJ22+(AJ21^2)/2)-(AK21^2)/2</f>
        <v>101361.34625942675</v>
      </c>
      <c r="AL22" s="1">
        <f t="shared" ref="AL22" si="43">(AK22+(AK21^2)/2)-(AL21^2)/2</f>
        <v>101362.5</v>
      </c>
    </row>
    <row r="23" spans="4:38" x14ac:dyDescent="0.3">
      <c r="E23" s="3">
        <v>1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8">
        <v>1.3274231931405813</v>
      </c>
      <c r="L23" s="8">
        <v>2.2350158287552464</v>
      </c>
      <c r="M23" s="8">
        <v>2.9186505221876629</v>
      </c>
      <c r="N23" s="8">
        <v>3.4503972282043409</v>
      </c>
      <c r="O23" s="8">
        <v>3.8666855239550628</v>
      </c>
      <c r="P23" s="8">
        <v>4.192802464744295</v>
      </c>
      <c r="Q23" s="8">
        <v>4.4505112819815364</v>
      </c>
      <c r="R23" s="8">
        <v>4.6594533729664782</v>
      </c>
      <c r="S23" s="8">
        <v>4.837278009772402</v>
      </c>
      <c r="T23" s="12">
        <v>5</v>
      </c>
      <c r="W23" s="7" t="s">
        <v>15</v>
      </c>
      <c r="X23" s="1">
        <f>(X22-$B$5)/(($B$4^2)/2)</f>
        <v>0</v>
      </c>
      <c r="Y23" s="1">
        <f t="shared" ref="Y23" si="44">(Y22-$B$5)/(($B$4^2)/2)</f>
        <v>2.8143790863105096E-2</v>
      </c>
      <c r="Z23" s="1">
        <f t="shared" ref="Z23" si="45">(Z22-$B$5)/(($B$4^2)/2)</f>
        <v>6.3816184289462397E-2</v>
      </c>
      <c r="AA23" s="1">
        <f t="shared" ref="AA23" si="46">(AA22-$B$5)/(($B$4^2)/2)</f>
        <v>0.11458769199758535</v>
      </c>
      <c r="AB23" s="1">
        <f t="shared" ref="AB23" si="47">(AB22-$B$5)/(($B$4^2)/2)</f>
        <v>0.18568973290210125</v>
      </c>
      <c r="AC23" s="1">
        <f t="shared" ref="AC23" si="48">(AC22-$B$5)/(($B$4^2)/2)</f>
        <v>0.27485147317085645</v>
      </c>
      <c r="AD23" s="1">
        <f t="shared" ref="AD23" si="49">(AD22-$B$5)/(($B$4^2)/2)</f>
        <v>0.36820606895227681</v>
      </c>
      <c r="AE23" s="1">
        <f t="shared" ref="AE23" si="50">(AE22-$B$5)/(($B$4^2)/2)</f>
        <v>0.45398915106925414</v>
      </c>
      <c r="AF23" s="1">
        <f t="shared" ref="AF23" si="51">(AF22-$B$5)/(($B$4^2)/2)</f>
        <v>0.52678678288968517</v>
      </c>
      <c r="AG23" s="1">
        <f t="shared" ref="AG23" si="52">(AG22-$B$5)/(($B$4^2)/2)</f>
        <v>0.5859118426169152</v>
      </c>
      <c r="AH23" s="1">
        <f t="shared" ref="AH23" si="53">(AH22-$B$5)/(($B$4^2)/2)</f>
        <v>0.63302380174660355</v>
      </c>
      <c r="AI23" s="1">
        <f t="shared" ref="AI23" si="54">(AI22-$B$5)/(($B$4^2)/2)</f>
        <v>0.67058626124897269</v>
      </c>
      <c r="AJ23" s="1">
        <f t="shared" ref="AJ23" si="55">(AJ22-$B$5)/(($B$4^2)/2)</f>
        <v>0.70112116748932751</v>
      </c>
      <c r="AK23" s="1">
        <f t="shared" ref="AK23" si="56">(AK22-$B$5)/(($B$4^2)/2)</f>
        <v>0.72692518853495125</v>
      </c>
      <c r="AL23" s="1">
        <f t="shared" ref="AL23" si="57">(AL22-$B$5)/(($B$4^2)/2)</f>
        <v>0.75</v>
      </c>
    </row>
    <row r="24" spans="4:38" x14ac:dyDescent="0.3">
      <c r="E24" s="3">
        <v>0.8</v>
      </c>
      <c r="F24" s="11"/>
      <c r="G24" s="11"/>
      <c r="H24" s="11"/>
      <c r="I24" s="11"/>
      <c r="J24" s="11"/>
      <c r="K24" s="12">
        <v>0</v>
      </c>
      <c r="L24" s="8">
        <v>1.0016911459841729</v>
      </c>
      <c r="M24" s="8">
        <v>1.7717487723234222</v>
      </c>
      <c r="N24" s="8">
        <v>2.3680218004020599</v>
      </c>
      <c r="O24" s="8">
        <v>2.8271633796161399</v>
      </c>
      <c r="P24" s="8">
        <v>3.1778279143367332</v>
      </c>
      <c r="Q24" s="8">
        <v>3.4473947372538909</v>
      </c>
      <c r="R24" s="8">
        <v>3.6606010708649883</v>
      </c>
      <c r="S24" s="8">
        <v>3.8386886401185123</v>
      </c>
      <c r="T24" s="12">
        <v>4</v>
      </c>
    </row>
    <row r="25" spans="4:38" x14ac:dyDescent="0.3">
      <c r="E25" s="3">
        <v>0.6</v>
      </c>
      <c r="F25" s="11"/>
      <c r="G25" s="11"/>
      <c r="H25" s="11"/>
      <c r="I25" s="11"/>
      <c r="J25" s="11"/>
      <c r="K25" s="11"/>
      <c r="L25" s="12">
        <v>0</v>
      </c>
      <c r="M25" s="8">
        <v>0.79863165596707908</v>
      </c>
      <c r="N25" s="8">
        <v>1.4227778691455795</v>
      </c>
      <c r="O25" s="8">
        <v>1.8961183376882007</v>
      </c>
      <c r="P25" s="8">
        <v>2.2439511326791064</v>
      </c>
      <c r="Q25" s="8">
        <v>2.5006387344439087</v>
      </c>
      <c r="R25" s="8">
        <v>2.6968675710597356</v>
      </c>
      <c r="S25" s="8">
        <v>2.856875500864505</v>
      </c>
      <c r="T25" s="12">
        <v>3</v>
      </c>
    </row>
    <row r="26" spans="4:38" x14ac:dyDescent="0.3">
      <c r="E26" s="3">
        <v>0.4</v>
      </c>
      <c r="F26" s="11"/>
      <c r="G26" s="11"/>
      <c r="H26" s="11"/>
      <c r="I26" s="11"/>
      <c r="J26" s="11"/>
      <c r="K26" s="11"/>
      <c r="L26" s="11"/>
      <c r="M26" s="12">
        <v>0</v>
      </c>
      <c r="N26" s="8">
        <v>0.62833971629136132</v>
      </c>
      <c r="O26" s="8">
        <v>1.0905810115475707</v>
      </c>
      <c r="P26" s="8">
        <v>1.401219591053819</v>
      </c>
      <c r="Q26" s="8">
        <v>1.6143415379003314</v>
      </c>
      <c r="R26" s="8">
        <v>1.7693550103445033</v>
      </c>
      <c r="S26" s="8">
        <v>1.8919458089999575</v>
      </c>
      <c r="T26" s="12">
        <v>2</v>
      </c>
    </row>
    <row r="27" spans="4:38" x14ac:dyDescent="0.3">
      <c r="E27" s="3">
        <v>0.2</v>
      </c>
      <c r="F27" s="11"/>
      <c r="G27" s="11"/>
      <c r="H27" s="11"/>
      <c r="I27" s="11"/>
      <c r="J27" s="11"/>
      <c r="K27" s="11"/>
      <c r="L27" s="11"/>
      <c r="M27" s="11"/>
      <c r="N27" s="12">
        <v>0</v>
      </c>
      <c r="O27" s="8">
        <v>0.43664642827586669</v>
      </c>
      <c r="P27" s="8">
        <v>0.65600471235139879</v>
      </c>
      <c r="Q27" s="8">
        <v>0.78615284528695728</v>
      </c>
      <c r="R27" s="8">
        <v>0.8742651452667608</v>
      </c>
      <c r="S27" s="8">
        <v>0.94155273704516418</v>
      </c>
      <c r="T27" s="12">
        <v>1</v>
      </c>
    </row>
    <row r="28" spans="4:38" x14ac:dyDescent="0.3">
      <c r="E28" s="3">
        <v>0</v>
      </c>
      <c r="F28" s="11"/>
      <c r="G28" s="11"/>
      <c r="H28" s="11"/>
      <c r="I28" s="11"/>
      <c r="J28" s="11"/>
      <c r="K28" s="11"/>
      <c r="L28" s="11"/>
      <c r="M28" s="11"/>
      <c r="N28" s="11"/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</row>
    <row r="29" spans="4:38" x14ac:dyDescent="0.3">
      <c r="F29" s="3">
        <v>0</v>
      </c>
      <c r="G29" s="3">
        <v>0.2</v>
      </c>
      <c r="H29" s="3">
        <v>0.4</v>
      </c>
      <c r="I29" s="3">
        <v>0.6</v>
      </c>
      <c r="J29" s="3">
        <v>0.8</v>
      </c>
      <c r="K29" s="3">
        <v>1</v>
      </c>
      <c r="L29" s="3">
        <v>1.2</v>
      </c>
      <c r="M29" s="3">
        <v>1.4</v>
      </c>
      <c r="N29" s="3">
        <v>1.6</v>
      </c>
      <c r="O29" s="3">
        <v>1.8</v>
      </c>
      <c r="P29" s="3">
        <v>2</v>
      </c>
      <c r="Q29" s="3">
        <v>2.2000000000000002</v>
      </c>
      <c r="R29" s="3">
        <v>2.4</v>
      </c>
      <c r="S29" s="3">
        <v>2.6</v>
      </c>
      <c r="T29" s="3">
        <v>2.8</v>
      </c>
    </row>
    <row r="31" spans="4:38" x14ac:dyDescent="0.3">
      <c r="D31" s="5" t="s">
        <v>0</v>
      </c>
      <c r="E31" s="3">
        <v>2</v>
      </c>
      <c r="F31" s="12">
        <f>(F5-F6)/$B$2</f>
        <v>10</v>
      </c>
      <c r="G31" s="12">
        <f>(G5-G6)/$B$2</f>
        <v>9.8582767720164544</v>
      </c>
      <c r="H31" s="12">
        <f t="shared" ref="H31:T31" si="58">(H5-H6)/$B$2</f>
        <v>9.6756592318592016</v>
      </c>
      <c r="I31" s="12">
        <f t="shared" si="58"/>
        <v>9.4096349982475758</v>
      </c>
      <c r="J31" s="12">
        <f t="shared" si="58"/>
        <v>9.0239141568272885</v>
      </c>
      <c r="K31" s="12">
        <f t="shared" si="58"/>
        <v>8.515565317869811</v>
      </c>
      <c r="L31" s="12">
        <f t="shared" si="58"/>
        <v>7.948546603295723</v>
      </c>
      <c r="M31" s="12">
        <f t="shared" si="58"/>
        <v>7.3892546913112511</v>
      </c>
      <c r="N31" s="12">
        <f t="shared" si="58"/>
        <v>6.8790494772925292</v>
      </c>
      <c r="O31" s="12">
        <f t="shared" si="58"/>
        <v>6.4349682002551312</v>
      </c>
      <c r="P31" s="12">
        <f t="shared" si="58"/>
        <v>6.057856041978873</v>
      </c>
      <c r="Q31" s="12">
        <f t="shared" si="58"/>
        <v>5.7394576290018229</v>
      </c>
      <c r="R31" s="12">
        <f t="shared" si="58"/>
        <v>5.4669811826154913</v>
      </c>
      <c r="S31" s="12">
        <f t="shared" si="58"/>
        <v>5.2256560493881921</v>
      </c>
      <c r="T31" s="12">
        <f t="shared" si="58"/>
        <v>5</v>
      </c>
    </row>
    <row r="32" spans="4:38" x14ac:dyDescent="0.3">
      <c r="E32" s="3">
        <v>1.8</v>
      </c>
      <c r="F32" s="13">
        <f>(F5-F7)/(2*$B$2)</f>
        <v>10</v>
      </c>
      <c r="G32" s="13">
        <f t="shared" ref="G32:T33" si="59">(G5-G7)/(2*$B$2)</f>
        <v>9.8787239236167252</v>
      </c>
      <c r="H32" s="13">
        <f t="shared" si="59"/>
        <v>9.7173625693778778</v>
      </c>
      <c r="I32" s="13">
        <f t="shared" si="59"/>
        <v>9.4694832864175051</v>
      </c>
      <c r="J32" s="13">
        <f t="shared" si="59"/>
        <v>9.0852281330404292</v>
      </c>
      <c r="K32" s="13">
        <f t="shared" si="59"/>
        <v>8.5449002232489324</v>
      </c>
      <c r="L32" s="13">
        <f t="shared" si="59"/>
        <v>7.9446831616277276</v>
      </c>
      <c r="M32" s="13">
        <f t="shared" si="59"/>
        <v>7.3647112920491731</v>
      </c>
      <c r="N32" s="13">
        <f t="shared" si="59"/>
        <v>6.8459874547724748</v>
      </c>
      <c r="O32" s="13">
        <f t="shared" si="59"/>
        <v>6.4014835830421557</v>
      </c>
      <c r="P32" s="13">
        <f t="shared" si="59"/>
        <v>6.02849911651687</v>
      </c>
      <c r="Q32" s="13">
        <f t="shared" si="59"/>
        <v>5.7164965990162431</v>
      </c>
      <c r="R32" s="13">
        <f t="shared" si="59"/>
        <v>5.4514054932223521</v>
      </c>
      <c r="S32" s="13">
        <f t="shared" si="59"/>
        <v>5.2178214895249342</v>
      </c>
      <c r="T32" s="13">
        <f t="shared" si="59"/>
        <v>5</v>
      </c>
    </row>
    <row r="33" spans="4:20" x14ac:dyDescent="0.3">
      <c r="E33" s="3">
        <v>1.6</v>
      </c>
      <c r="F33" s="13">
        <f t="shared" ref="F33:S33" si="60">(F6-F8)/(2*$B$2)</f>
        <v>10</v>
      </c>
      <c r="G33" s="13">
        <f t="shared" si="60"/>
        <v>9.9392563459318968</v>
      </c>
      <c r="H33" s="13">
        <f t="shared" si="60"/>
        <v>9.8455838197317593</v>
      </c>
      <c r="I33" s="13">
        <f t="shared" si="60"/>
        <v>9.6657074194317794</v>
      </c>
      <c r="J33" s="13">
        <f t="shared" si="60"/>
        <v>9.3026148253897762</v>
      </c>
      <c r="K33" s="13">
        <f t="shared" si="60"/>
        <v>8.6341242252140216</v>
      </c>
      <c r="L33" s="13">
        <f t="shared" si="60"/>
        <v>7.9205744523190269</v>
      </c>
      <c r="M33" s="13">
        <f t="shared" si="60"/>
        <v>7.2789197716696226</v>
      </c>
      <c r="N33" s="13">
        <f t="shared" si="60"/>
        <v>6.7387053629641613</v>
      </c>
      <c r="O33" s="13">
        <f t="shared" si="60"/>
        <v>6.2964794567237243</v>
      </c>
      <c r="P33" s="13">
        <f t="shared" si="60"/>
        <v>5.938160139471349</v>
      </c>
      <c r="Q33" s="13">
        <f t="shared" si="60"/>
        <v>5.6466240728099937</v>
      </c>
      <c r="R33" s="13">
        <f t="shared" si="60"/>
        <v>5.4043226377018749</v>
      </c>
      <c r="S33" s="13">
        <f t="shared" si="59"/>
        <v>5.1942243829156931</v>
      </c>
      <c r="T33" s="13">
        <f t="shared" ref="T33" si="61">(T6-T8)/(2*$B$2)</f>
        <v>5</v>
      </c>
    </row>
    <row r="34" spans="4:20" x14ac:dyDescent="0.3">
      <c r="E34" s="3">
        <v>1.4</v>
      </c>
      <c r="F34" s="13">
        <f t="shared" ref="F34:T34" si="62">(F7-F9)/(2*$B$2)</f>
        <v>10</v>
      </c>
      <c r="G34" s="13">
        <f t="shared" si="62"/>
        <v>10.032717637239429</v>
      </c>
      <c r="H34" s="13">
        <f t="shared" si="62"/>
        <v>10.060008937425554</v>
      </c>
      <c r="I34" s="13">
        <f t="shared" si="62"/>
        <v>10.045147733550127</v>
      </c>
      <c r="J34" s="13">
        <f t="shared" si="62"/>
        <v>9.825399503025487</v>
      </c>
      <c r="K34" s="13">
        <f t="shared" si="62"/>
        <v>8.7684073640179037</v>
      </c>
      <c r="L34" s="13">
        <f t="shared" si="62"/>
        <v>7.8245706000899977</v>
      </c>
      <c r="M34" s="13">
        <f t="shared" si="62"/>
        <v>7.0916879109914355</v>
      </c>
      <c r="N34" s="13">
        <f t="shared" si="62"/>
        <v>6.5334346914286385</v>
      </c>
      <c r="O34" s="13">
        <f t="shared" si="62"/>
        <v>6.1075686559810727</v>
      </c>
      <c r="P34" s="13">
        <f t="shared" si="62"/>
        <v>5.7810378321478462</v>
      </c>
      <c r="Q34" s="13">
        <f t="shared" si="62"/>
        <v>5.527516843634932</v>
      </c>
      <c r="R34" s="13">
        <f t="shared" si="62"/>
        <v>5.3250365512446791</v>
      </c>
      <c r="S34" s="13">
        <f t="shared" si="62"/>
        <v>5.1547533766309561</v>
      </c>
      <c r="T34" s="13">
        <f t="shared" si="62"/>
        <v>5</v>
      </c>
    </row>
    <row r="35" spans="4:20" x14ac:dyDescent="0.3">
      <c r="E35" s="3">
        <v>1.2</v>
      </c>
      <c r="F35" s="13">
        <f t="shared" ref="F35:T37" si="63">(F8-F10)/(2*$B$2)</f>
        <v>10</v>
      </c>
      <c r="G35" s="13">
        <f t="shared" si="63"/>
        <v>10.131605268059875</v>
      </c>
      <c r="H35" s="13">
        <f t="shared" si="63"/>
        <v>10.316586564338639</v>
      </c>
      <c r="I35" s="13">
        <f t="shared" si="63"/>
        <v>10.629475081444433</v>
      </c>
      <c r="J35" s="13">
        <f t="shared" si="63"/>
        <v>11.185428096196578</v>
      </c>
      <c r="K35" s="13">
        <f t="shared" si="63"/>
        <v>8.7895351237590447</v>
      </c>
      <c r="L35" s="13">
        <f t="shared" si="63"/>
        <v>7.5176126541651485</v>
      </c>
      <c r="M35" s="13">
        <f t="shared" si="63"/>
        <v>6.7298265484444997</v>
      </c>
      <c r="N35" s="13">
        <f t="shared" si="63"/>
        <v>6.195776790359516</v>
      </c>
      <c r="O35" s="13">
        <f t="shared" si="63"/>
        <v>5.8193225931429735</v>
      </c>
      <c r="P35" s="13">
        <f t="shared" si="63"/>
        <v>5.5509056364557541</v>
      </c>
      <c r="Q35" s="13">
        <f t="shared" si="63"/>
        <v>5.3573688729134323</v>
      </c>
      <c r="R35" s="13">
        <f t="shared" si="63"/>
        <v>5.2135533117979005</v>
      </c>
      <c r="S35" s="13">
        <f t="shared" si="63"/>
        <v>5.0997525542298572</v>
      </c>
      <c r="T35" s="13">
        <f t="shared" si="63"/>
        <v>5</v>
      </c>
    </row>
    <row r="36" spans="4:20" x14ac:dyDescent="0.3">
      <c r="E36" s="3">
        <v>1</v>
      </c>
      <c r="F36" s="12">
        <f>(F9-F10)/$B$2</f>
        <v>10</v>
      </c>
      <c r="G36" s="12">
        <f>(G9-G10)/$B$2</f>
        <v>10.177116878287688</v>
      </c>
      <c r="H36" s="12">
        <f t="shared" ref="H36:J36" si="64">(H9-H10)/$B$2</f>
        <v>10.445256986393131</v>
      </c>
      <c r="I36" s="12">
        <f t="shared" si="64"/>
        <v>10.970737960064731</v>
      </c>
      <c r="J36" s="12">
        <f>(J9-J10)/$B$2</f>
        <v>12.178744727868162</v>
      </c>
      <c r="K36" s="13">
        <f t="shared" si="63"/>
        <v>7.6866924127331622</v>
      </c>
      <c r="L36" s="13">
        <f t="shared" si="63"/>
        <v>6.7265183626081058</v>
      </c>
      <c r="M36" s="13">
        <f t="shared" ref="M36:T36" si="65">(M9-M11)/(2*$B$2)</f>
        <v>6.114228844121282</v>
      </c>
      <c r="N36" s="13">
        <f t="shared" si="65"/>
        <v>5.7005233229929582</v>
      </c>
      <c r="O36" s="13">
        <f t="shared" si="65"/>
        <v>5.4230392757379864</v>
      </c>
      <c r="P36" s="13">
        <f t="shared" si="65"/>
        <v>5.2458932299018883</v>
      </c>
      <c r="Q36" s="13">
        <f t="shared" si="65"/>
        <v>5.1374996813318461</v>
      </c>
      <c r="R36" s="13">
        <f t="shared" si="65"/>
        <v>5.0720552546588324</v>
      </c>
      <c r="S36" s="13">
        <f t="shared" si="65"/>
        <v>5.0307035204054262</v>
      </c>
      <c r="T36" s="13">
        <f t="shared" si="65"/>
        <v>5</v>
      </c>
    </row>
    <row r="37" spans="4:20" x14ac:dyDescent="0.3">
      <c r="E37" s="3">
        <v>0.8</v>
      </c>
      <c r="F37" s="11"/>
      <c r="G37" s="11"/>
      <c r="H37" s="11"/>
      <c r="I37" s="11"/>
      <c r="J37" s="11"/>
      <c r="K37" s="12">
        <f>(K10-K11)/$B$2</f>
        <v>6.6371159841840539</v>
      </c>
      <c r="L37" s="13">
        <f t="shared" si="63"/>
        <v>5.5875395918679622</v>
      </c>
      <c r="M37" s="13">
        <f t="shared" ref="M37:T37" si="66">(M10-M12)/(2*$B$2)</f>
        <v>5.3000471833121248</v>
      </c>
      <c r="N37" s="13">
        <f t="shared" si="66"/>
        <v>5.0690484140621193</v>
      </c>
      <c r="O37" s="13">
        <f t="shared" si="66"/>
        <v>4.9264179793879874</v>
      </c>
      <c r="P37" s="13">
        <f t="shared" si="66"/>
        <v>4.8721283421317967</v>
      </c>
      <c r="Q37" s="13">
        <f t="shared" si="66"/>
        <v>4.8746813779674962</v>
      </c>
      <c r="R37" s="13">
        <f t="shared" si="66"/>
        <v>4.906464511368787</v>
      </c>
      <c r="S37" s="13">
        <f t="shared" si="66"/>
        <v>4.9510062755489743</v>
      </c>
      <c r="T37" s="13">
        <f t="shared" si="66"/>
        <v>5</v>
      </c>
    </row>
    <row r="38" spans="4:20" x14ac:dyDescent="0.3">
      <c r="E38" s="3">
        <v>0.6</v>
      </c>
      <c r="F38" s="11"/>
      <c r="G38" s="11"/>
      <c r="H38" s="11"/>
      <c r="I38" s="11"/>
      <c r="J38" s="11"/>
      <c r="K38" s="11"/>
      <c r="L38" s="12">
        <f>(L11-L12)/$B$2</f>
        <v>5.0084557513483352</v>
      </c>
      <c r="M38" s="13">
        <f t="shared" ref="M38:T38" si="67">(M11-M13)/(2*$B$2)</f>
        <v>4.4293719528381086</v>
      </c>
      <c r="N38" s="13">
        <f t="shared" si="67"/>
        <v>4.349205230372708</v>
      </c>
      <c r="O38" s="13">
        <f t="shared" si="67"/>
        <v>4.3414559394205048</v>
      </c>
      <c r="P38" s="13">
        <f t="shared" si="67"/>
        <v>4.4415208248843907</v>
      </c>
      <c r="Q38" s="13">
        <f t="shared" si="67"/>
        <v>4.5826330128112351</v>
      </c>
      <c r="R38" s="13">
        <f t="shared" si="67"/>
        <v>4.7281151613573948</v>
      </c>
      <c r="S38" s="13">
        <f t="shared" si="67"/>
        <v>4.8668570832798252</v>
      </c>
      <c r="T38" s="13">
        <f t="shared" si="67"/>
        <v>5</v>
      </c>
    </row>
    <row r="39" spans="4:20" x14ac:dyDescent="0.3">
      <c r="E39" s="3">
        <v>0.4</v>
      </c>
      <c r="F39" s="11"/>
      <c r="G39" s="11"/>
      <c r="H39" s="11"/>
      <c r="I39" s="11"/>
      <c r="J39" s="11"/>
      <c r="K39" s="11"/>
      <c r="L39" s="11"/>
      <c r="M39" s="12">
        <f>(M12-M13)/$B$2</f>
        <v>3.9931583018362518</v>
      </c>
      <c r="N39" s="13">
        <f t="shared" ref="N39:T39" si="68">(N12-N14)/(2*$B$2)</f>
        <v>3.5569446939679383</v>
      </c>
      <c r="O39" s="13">
        <f t="shared" si="68"/>
        <v>3.6486797931808916</v>
      </c>
      <c r="P39" s="13">
        <f t="shared" si="68"/>
        <v>3.9698660705662614</v>
      </c>
      <c r="Q39" s="13">
        <f t="shared" si="68"/>
        <v>4.2862147396091084</v>
      </c>
      <c r="R39" s="13">
        <f t="shared" si="68"/>
        <v>4.556506077400801</v>
      </c>
      <c r="S39" s="13">
        <f t="shared" si="68"/>
        <v>4.7883069161946796</v>
      </c>
      <c r="T39" s="13">
        <f t="shared" si="68"/>
        <v>5</v>
      </c>
    </row>
    <row r="40" spans="4:20" x14ac:dyDescent="0.3">
      <c r="E40" s="3">
        <v>0.2</v>
      </c>
      <c r="F40" s="11"/>
      <c r="G40" s="11"/>
      <c r="H40" s="11"/>
      <c r="I40" s="11"/>
      <c r="J40" s="11"/>
      <c r="K40" s="11"/>
      <c r="L40" s="11"/>
      <c r="M40" s="11"/>
      <c r="N40" s="12">
        <f>(N13-N14)/$B$2</f>
        <v>3.1416986008664374</v>
      </c>
      <c r="O40" s="13">
        <f t="shared" ref="O40:T40" si="69">(O13-O15)/(2*$B$2)</f>
        <v>2.7264525458182796</v>
      </c>
      <c r="P40" s="13">
        <f t="shared" si="69"/>
        <v>3.5030489965490039</v>
      </c>
      <c r="Q40" s="13">
        <f t="shared" si="69"/>
        <v>4.0358538632057428</v>
      </c>
      <c r="R40" s="13">
        <f t="shared" si="69"/>
        <v>4.4233875395167406</v>
      </c>
      <c r="S40" s="13">
        <f t="shared" si="69"/>
        <v>4.7298645301588573</v>
      </c>
      <c r="T40" s="13">
        <f t="shared" si="69"/>
        <v>5</v>
      </c>
    </row>
    <row r="41" spans="4:20" x14ac:dyDescent="0.3">
      <c r="E41" s="3">
        <v>0</v>
      </c>
      <c r="F41" s="11"/>
      <c r="G41" s="11"/>
      <c r="H41" s="11"/>
      <c r="I41" s="11"/>
      <c r="J41" s="11"/>
      <c r="K41" s="11"/>
      <c r="L41" s="11"/>
      <c r="M41" s="11"/>
      <c r="N41" s="11"/>
      <c r="O41" s="12">
        <f>(O14-O15)/$B$2</f>
        <v>2.1832321548737119</v>
      </c>
      <c r="P41" s="12">
        <f t="shared" ref="P41:T41" si="70">(P14-P15)/$B$2</f>
        <v>3.2800235807708034</v>
      </c>
      <c r="Q41" s="12">
        <f t="shared" si="70"/>
        <v>3.9307642443981137</v>
      </c>
      <c r="R41" s="12">
        <f t="shared" si="70"/>
        <v>4.37132574084578</v>
      </c>
      <c r="S41" s="12">
        <f t="shared" si="70"/>
        <v>4.7077636928333977</v>
      </c>
      <c r="T41" s="12">
        <f t="shared" si="70"/>
        <v>5</v>
      </c>
    </row>
    <row r="42" spans="4:20" x14ac:dyDescent="0.3">
      <c r="F42" s="3">
        <v>0</v>
      </c>
      <c r="G42" s="3">
        <v>0.2</v>
      </c>
      <c r="H42" s="3">
        <v>0.4</v>
      </c>
      <c r="I42" s="3">
        <v>0.6</v>
      </c>
      <c r="J42" s="3">
        <v>0.8</v>
      </c>
      <c r="K42" s="3">
        <v>1</v>
      </c>
      <c r="L42" s="3">
        <v>1.2</v>
      </c>
      <c r="M42" s="3">
        <v>1.4</v>
      </c>
      <c r="N42" s="3">
        <v>1.6</v>
      </c>
      <c r="O42" s="3">
        <v>1.8</v>
      </c>
      <c r="P42" s="3">
        <v>2</v>
      </c>
      <c r="Q42" s="3">
        <v>2.2000000000000002</v>
      </c>
      <c r="R42" s="3">
        <v>2.4</v>
      </c>
      <c r="S42" s="3">
        <v>2.6</v>
      </c>
      <c r="T42" s="3">
        <v>2.8</v>
      </c>
    </row>
    <row r="44" spans="4:20" x14ac:dyDescent="0.3">
      <c r="D44" s="5" t="s">
        <v>1</v>
      </c>
      <c r="E44" s="3">
        <v>2</v>
      </c>
      <c r="F44" s="12">
        <f t="shared" ref="F44:F49" si="71">-(G18-F18)/$B$2</f>
        <v>0</v>
      </c>
      <c r="G44" s="8">
        <f t="shared" ref="G44:H49" si="72">-(H18-F18)/(2*$B$2)</f>
        <v>0</v>
      </c>
      <c r="H44" s="8">
        <f t="shared" si="72"/>
        <v>0</v>
      </c>
      <c r="I44" s="8">
        <f t="shared" ref="I44:S44" si="73">-(J18-H18)/(2*$B$2)</f>
        <v>0</v>
      </c>
      <c r="J44" s="8">
        <f t="shared" si="73"/>
        <v>0</v>
      </c>
      <c r="K44" s="8">
        <f t="shared" si="73"/>
        <v>0</v>
      </c>
      <c r="L44" s="8">
        <f t="shared" si="73"/>
        <v>0</v>
      </c>
      <c r="M44" s="8">
        <f t="shared" si="73"/>
        <v>0</v>
      </c>
      <c r="N44" s="8">
        <f t="shared" si="73"/>
        <v>0</v>
      </c>
      <c r="O44" s="8">
        <f t="shared" si="73"/>
        <v>0</v>
      </c>
      <c r="P44" s="8">
        <f t="shared" si="73"/>
        <v>0</v>
      </c>
      <c r="Q44" s="8">
        <f t="shared" si="73"/>
        <v>0</v>
      </c>
      <c r="R44" s="8">
        <f t="shared" si="73"/>
        <v>0</v>
      </c>
      <c r="S44" s="8">
        <f t="shared" si="73"/>
        <v>0</v>
      </c>
      <c r="T44" s="12">
        <f>-(S18-T18)/$B$2</f>
        <v>0</v>
      </c>
    </row>
    <row r="45" spans="4:20" x14ac:dyDescent="0.3">
      <c r="E45" s="3">
        <v>1.8</v>
      </c>
      <c r="F45" s="12">
        <f t="shared" si="71"/>
        <v>-0.14172322569510065</v>
      </c>
      <c r="G45" s="8">
        <f t="shared" si="72"/>
        <v>-0.16217038154337615</v>
      </c>
      <c r="H45" s="8">
        <f t="shared" si="72"/>
        <v>-0.2243208840158939</v>
      </c>
      <c r="I45" s="8">
        <f t="shared" ref="I45:S45" si="74">-(J19-H19)/(2*$B$2)</f>
        <v>-0.32587253385324644</v>
      </c>
      <c r="J45" s="8">
        <f t="shared" si="74"/>
        <v>-0.44703483593118154</v>
      </c>
      <c r="K45" s="8">
        <f t="shared" si="74"/>
        <v>-0.53768377187620509</v>
      </c>
      <c r="L45" s="8">
        <f t="shared" si="74"/>
        <v>-0.56315530872694808</v>
      </c>
      <c r="M45" s="8">
        <f t="shared" si="74"/>
        <v>-0.53474855925402576</v>
      </c>
      <c r="N45" s="8">
        <f t="shared" si="74"/>
        <v>-0.47714324360175198</v>
      </c>
      <c r="O45" s="8">
        <f t="shared" si="74"/>
        <v>-0.41059671799080544</v>
      </c>
      <c r="P45" s="8">
        <f t="shared" si="74"/>
        <v>-0.34775528846826109</v>
      </c>
      <c r="Q45" s="8">
        <f t="shared" si="74"/>
        <v>-0.29543743516979859</v>
      </c>
      <c r="R45" s="8">
        <f t="shared" si="74"/>
        <v>-0.2569007971381021</v>
      </c>
      <c r="S45" s="8">
        <f t="shared" si="74"/>
        <v>-0.23349060031254254</v>
      </c>
      <c r="T45" s="12">
        <f t="shared" ref="T45:T54" si="75">-(S19-T19)/$B$2</f>
        <v>0.22565605854062198</v>
      </c>
    </row>
    <row r="46" spans="4:20" x14ac:dyDescent="0.3">
      <c r="E46" s="3">
        <v>1.6</v>
      </c>
      <c r="F46" s="12">
        <f t="shared" si="71"/>
        <v>-0.24255214884742138</v>
      </c>
      <c r="G46" s="8">
        <f t="shared" si="72"/>
        <v>-0.2826374265706022</v>
      </c>
      <c r="H46" s="8">
        <f t="shared" si="72"/>
        <v>-0.40924063214114792</v>
      </c>
      <c r="I46" s="8">
        <f t="shared" ref="I46:S46" si="76">-(J20-H20)/(2*$B$2)</f>
        <v>-0.63213443011674197</v>
      </c>
      <c r="J46" s="8">
        <f t="shared" si="76"/>
        <v>-0.92458305502607807</v>
      </c>
      <c r="K46" s="8">
        <f t="shared" si="76"/>
        <v>-1.1405449624050168</v>
      </c>
      <c r="L46" s="8">
        <f t="shared" si="76"/>
        <v>-1.18018892198688</v>
      </c>
      <c r="M46" s="8">
        <f t="shared" si="76"/>
        <v>-1.0986956996776764</v>
      </c>
      <c r="N46" s="8">
        <f t="shared" si="76"/>
        <v>-0.96322770486740872</v>
      </c>
      <c r="O46" s="8">
        <f t="shared" si="76"/>
        <v>-0.81748833855731062</v>
      </c>
      <c r="P46" s="8">
        <f t="shared" si="76"/>
        <v>-0.68498698934600366</v>
      </c>
      <c r="Q46" s="8">
        <f t="shared" si="76"/>
        <v>-0.57709363312038908</v>
      </c>
      <c r="R46" s="8">
        <f t="shared" si="76"/>
        <v>-0.49867512374493161</v>
      </c>
      <c r="S46" s="8">
        <f t="shared" si="76"/>
        <v>-0.45140550955226288</v>
      </c>
      <c r="T46" s="12">
        <f t="shared" si="75"/>
        <v>0.43564299692767872</v>
      </c>
    </row>
    <row r="47" spans="4:20" x14ac:dyDescent="0.3">
      <c r="E47" s="3">
        <v>1.4</v>
      </c>
      <c r="F47" s="12">
        <f t="shared" si="71"/>
        <v>-0.26321053222987612</v>
      </c>
      <c r="G47" s="8">
        <f t="shared" si="72"/>
        <v>-0.31658655995653984</v>
      </c>
      <c r="H47" s="8">
        <f t="shared" si="72"/>
        <v>-0.49786980809364278</v>
      </c>
      <c r="I47" s="8">
        <f t="shared" ref="I47:S47" si="77">-(J21-H21)/(2*$B$2)</f>
        <v>-0.86884152432932016</v>
      </c>
      <c r="J47" s="8">
        <f t="shared" si="77"/>
        <v>-1.4786180242213609</v>
      </c>
      <c r="K47" s="8">
        <f t="shared" si="77"/>
        <v>-1.9197241367616447</v>
      </c>
      <c r="L47" s="8">
        <f t="shared" si="77"/>
        <v>-1.9183597539893915</v>
      </c>
      <c r="M47" s="8">
        <f t="shared" si="77"/>
        <v>-1.7166176413127032</v>
      </c>
      <c r="N47" s="8">
        <f t="shared" si="77"/>
        <v>-1.459583554191326</v>
      </c>
      <c r="O47" s="8">
        <f t="shared" si="77"/>
        <v>-1.2111419408181989</v>
      </c>
      <c r="P47" s="8">
        <f t="shared" si="77"/>
        <v>-0.99761067595768971</v>
      </c>
      <c r="Q47" s="8">
        <f t="shared" si="77"/>
        <v>-0.82927494491734199</v>
      </c>
      <c r="R47" s="8">
        <f t="shared" si="77"/>
        <v>-0.70930049815448593</v>
      </c>
      <c r="S47" s="8">
        <f t="shared" si="77"/>
        <v>-0.6378132519042512</v>
      </c>
      <c r="T47" s="12">
        <f t="shared" si="75"/>
        <v>0.61410483855433018</v>
      </c>
    </row>
    <row r="48" spans="4:20" x14ac:dyDescent="0.3">
      <c r="E48" s="3">
        <v>1.2</v>
      </c>
      <c r="F48" s="12">
        <f t="shared" si="71"/>
        <v>-0.17711687571850598</v>
      </c>
      <c r="G48" s="8">
        <f>-(H22-F22)/(2*$B$2)</f>
        <v>-0.22262849046043587</v>
      </c>
      <c r="H48" s="8">
        <f>-(I22-G22)/(2*$B$2)</f>
        <v>-0.39681053711121961</v>
      </c>
      <c r="I48" s="8">
        <f t="shared" ref="I48:S48" si="78">-(J22-H22)/(2*$B$2)</f>
        <v>-0.86674386500001144</v>
      </c>
      <c r="J48" s="8">
        <f t="shared" si="78"/>
        <v>-2.2013234215095201</v>
      </c>
      <c r="K48" s="8">
        <f t="shared" si="78"/>
        <v>-3.1413738587303617</v>
      </c>
      <c r="L48" s="8">
        <f t="shared" si="78"/>
        <v>-2.8569083672334905</v>
      </c>
      <c r="M48" s="8">
        <f t="shared" si="78"/>
        <v>-2.389831601567459</v>
      </c>
      <c r="N48" s="8">
        <f t="shared" si="78"/>
        <v>-1.9473469548975175</v>
      </c>
      <c r="O48" s="8">
        <f t="shared" si="78"/>
        <v>-1.5698851958922355</v>
      </c>
      <c r="P48" s="8">
        <f t="shared" si="78"/>
        <v>-1.2650388030799875</v>
      </c>
      <c r="Q48" s="8">
        <f t="shared" si="78"/>
        <v>-1.0330949185720995</v>
      </c>
      <c r="R48" s="8">
        <f t="shared" si="78"/>
        <v>-0.87143859823795466</v>
      </c>
      <c r="S48" s="8">
        <f t="shared" si="78"/>
        <v>-0.7764420697773966</v>
      </c>
      <c r="T48" s="12">
        <f t="shared" si="75"/>
        <v>0.7451497601421142</v>
      </c>
    </row>
    <row r="49" spans="4:20" x14ac:dyDescent="0.3">
      <c r="E49" s="3">
        <v>1</v>
      </c>
      <c r="F49" s="12">
        <f t="shared" si="71"/>
        <v>0</v>
      </c>
      <c r="G49" s="8">
        <f>-(H23-F23)/(2*$B$2)</f>
        <v>0</v>
      </c>
      <c r="H49" s="8">
        <f t="shared" si="72"/>
        <v>0</v>
      </c>
      <c r="I49" s="8">
        <f t="shared" ref="I49:S50" si="79">-(J23-H23)/(2*$B$2)</f>
        <v>0</v>
      </c>
      <c r="J49" s="8">
        <f t="shared" si="79"/>
        <v>-3.3185579828514533</v>
      </c>
      <c r="K49" s="8">
        <f t="shared" si="79"/>
        <v>-5.587539571888116</v>
      </c>
      <c r="L49" s="8">
        <f t="shared" si="79"/>
        <v>-3.9780683226177036</v>
      </c>
      <c r="M49" s="8">
        <f t="shared" si="79"/>
        <v>-3.0384534986227361</v>
      </c>
      <c r="N49" s="8">
        <f t="shared" si="79"/>
        <v>-2.3700875044184997</v>
      </c>
      <c r="O49" s="8">
        <f t="shared" si="79"/>
        <v>-1.8560130913498851</v>
      </c>
      <c r="P49" s="8">
        <f t="shared" ref="P49:S49" si="80">-(Q23-O23)/(2*$B$2)</f>
        <v>-1.4595643950661841</v>
      </c>
      <c r="Q49" s="8">
        <f t="shared" si="80"/>
        <v>-1.1666272705554581</v>
      </c>
      <c r="R49" s="8">
        <f t="shared" si="80"/>
        <v>-0.96691681947716379</v>
      </c>
      <c r="S49" s="8">
        <f t="shared" si="80"/>
        <v>-0.85136656758380447</v>
      </c>
      <c r="T49" s="12">
        <f t="shared" si="75"/>
        <v>0.81360995113799017</v>
      </c>
    </row>
    <row r="50" spans="4:20" x14ac:dyDescent="0.3">
      <c r="E50" s="3">
        <v>0.8</v>
      </c>
      <c r="F50" s="11"/>
      <c r="G50" s="11"/>
      <c r="H50" s="11"/>
      <c r="I50" s="11"/>
      <c r="J50" s="11"/>
      <c r="K50" s="12">
        <f>-(L24-K24)/$B$2</f>
        <v>-5.0084557299208639</v>
      </c>
      <c r="L50" s="8">
        <f t="shared" si="79"/>
        <v>-4.4293719308085553</v>
      </c>
      <c r="M50" s="8">
        <f t="shared" ref="M50:O50" si="81">-(N24-L24)/(2*$B$2)</f>
        <v>-3.4158266360447174</v>
      </c>
      <c r="N50" s="8">
        <f t="shared" si="81"/>
        <v>-2.6385365182317941</v>
      </c>
      <c r="O50" s="8">
        <f t="shared" si="81"/>
        <v>-2.0245152848366832</v>
      </c>
      <c r="P50" s="8">
        <f t="shared" ref="P50:S50" si="82">-(Q24-O24)/(2*$B$2)</f>
        <v>-1.5505783940943774</v>
      </c>
      <c r="Q50" s="8">
        <f t="shared" si="82"/>
        <v>-1.2069328913206379</v>
      </c>
      <c r="R50" s="8">
        <f t="shared" si="82"/>
        <v>-0.9782347571615535</v>
      </c>
      <c r="S50" s="8">
        <f t="shared" si="82"/>
        <v>-0.84849732283752921</v>
      </c>
      <c r="T50" s="12">
        <f t="shared" si="75"/>
        <v>0.80655679940743852</v>
      </c>
    </row>
    <row r="51" spans="4:20" x14ac:dyDescent="0.3">
      <c r="E51" s="3">
        <v>0.6</v>
      </c>
      <c r="F51" s="11"/>
      <c r="G51" s="11"/>
      <c r="H51" s="11"/>
      <c r="I51" s="11"/>
      <c r="J51" s="11"/>
      <c r="K51" s="11"/>
      <c r="L51" s="12">
        <f>-(M25-L25)/$B$2</f>
        <v>-3.9931582798353951</v>
      </c>
      <c r="M51" s="8">
        <f t="shared" ref="M51:O51" si="83">-(N25-L25)/(2*$B$2)</f>
        <v>-3.5569446728639487</v>
      </c>
      <c r="N51" s="8">
        <f t="shared" si="83"/>
        <v>-2.7437167043028041</v>
      </c>
      <c r="O51" s="8">
        <f t="shared" si="83"/>
        <v>-2.0529331588338171</v>
      </c>
      <c r="P51" s="8">
        <f t="shared" ref="P51:S51" si="84">-(Q25-O25)/(2*$B$2)</f>
        <v>-1.5113009918892699</v>
      </c>
      <c r="Q51" s="8">
        <f t="shared" si="84"/>
        <v>-1.1322910959515731</v>
      </c>
      <c r="R51" s="8">
        <f t="shared" si="84"/>
        <v>-0.8905919160514908</v>
      </c>
      <c r="S51" s="8">
        <f t="shared" si="84"/>
        <v>-0.75783107235066094</v>
      </c>
      <c r="T51" s="12">
        <f t="shared" si="75"/>
        <v>0.71562249567747482</v>
      </c>
    </row>
    <row r="52" spans="4:20" x14ac:dyDescent="0.3">
      <c r="E52" s="3">
        <v>0.4</v>
      </c>
      <c r="F52" s="11"/>
      <c r="G52" s="11"/>
      <c r="H52" s="11"/>
      <c r="I52" s="11"/>
      <c r="J52" s="11"/>
      <c r="K52" s="11"/>
      <c r="L52" s="11"/>
      <c r="M52" s="12">
        <f>-(N26-M26)/$B$2</f>
        <v>-3.1416985814568066</v>
      </c>
      <c r="N52" s="8">
        <f t="shared" ref="N52:O52" si="85">-(O26-M26)/(2*$B$2)</f>
        <v>-2.7264525288689265</v>
      </c>
      <c r="O52" s="8">
        <f t="shared" si="85"/>
        <v>-1.9321996869061442</v>
      </c>
      <c r="P52" s="8">
        <f t="shared" ref="P52:S52" si="86">-(Q26-O26)/(2*$B$2)</f>
        <v>-1.3094013158819018</v>
      </c>
      <c r="Q52" s="8">
        <f t="shared" si="86"/>
        <v>-0.92033854822671068</v>
      </c>
      <c r="R52" s="8">
        <f t="shared" si="86"/>
        <v>-0.69401067774906511</v>
      </c>
      <c r="S52" s="8">
        <f t="shared" si="86"/>
        <v>-0.57661247413874184</v>
      </c>
      <c r="T52" s="12">
        <f t="shared" si="75"/>
        <v>0.54027095500021272</v>
      </c>
    </row>
    <row r="53" spans="4:20" x14ac:dyDescent="0.3">
      <c r="E53" s="3">
        <v>0.2</v>
      </c>
      <c r="F53" s="11"/>
      <c r="G53" s="11"/>
      <c r="H53" s="11"/>
      <c r="I53" s="11"/>
      <c r="J53" s="11"/>
      <c r="K53" s="11"/>
      <c r="L53" s="11"/>
      <c r="M53" s="11"/>
      <c r="N53" s="12">
        <f>-(O27-N27)/$B$2</f>
        <v>-2.1832321413793334</v>
      </c>
      <c r="O53" s="8">
        <f t="shared" ref="O53:S53" si="87">-(P27-N27)/(2*$B$2)</f>
        <v>-1.6400117808784969</v>
      </c>
      <c r="P53" s="8">
        <f t="shared" si="87"/>
        <v>-0.87376604252772638</v>
      </c>
      <c r="Q53" s="8">
        <f t="shared" si="87"/>
        <v>-0.54565108228840498</v>
      </c>
      <c r="R53" s="8">
        <f t="shared" si="87"/>
        <v>-0.38849972939551725</v>
      </c>
      <c r="S53" s="8">
        <f t="shared" si="87"/>
        <v>-0.314337136833098</v>
      </c>
      <c r="T53" s="12">
        <f t="shared" si="75"/>
        <v>0.29223631477417911</v>
      </c>
    </row>
    <row r="54" spans="4:20" x14ac:dyDescent="0.3">
      <c r="E54" s="3">
        <v>0</v>
      </c>
      <c r="F54" s="11"/>
      <c r="G54" s="11"/>
      <c r="H54" s="11"/>
      <c r="I54" s="11"/>
      <c r="J54" s="11"/>
      <c r="K54" s="11"/>
      <c r="L54" s="11"/>
      <c r="M54" s="11"/>
      <c r="N54" s="11"/>
      <c r="O54" s="8">
        <f t="shared" ref="O54:S54" si="88">-(P28-N28)/(2*$B$2)</f>
        <v>0</v>
      </c>
      <c r="P54" s="8">
        <f t="shared" si="88"/>
        <v>0</v>
      </c>
      <c r="Q54" s="8">
        <f t="shared" si="88"/>
        <v>0</v>
      </c>
      <c r="R54" s="8">
        <f t="shared" si="88"/>
        <v>0</v>
      </c>
      <c r="S54" s="8">
        <f t="shared" si="88"/>
        <v>0</v>
      </c>
      <c r="T54" s="12">
        <f t="shared" si="75"/>
        <v>0</v>
      </c>
    </row>
    <row r="55" spans="4:20" x14ac:dyDescent="0.3">
      <c r="F55" s="3">
        <v>0</v>
      </c>
      <c r="G55" s="3">
        <v>0.2</v>
      </c>
      <c r="H55" s="3">
        <v>0.4</v>
      </c>
      <c r="I55" s="3">
        <v>0.6</v>
      </c>
      <c r="J55" s="3">
        <v>0.8</v>
      </c>
      <c r="K55" s="3">
        <v>1</v>
      </c>
      <c r="L55" s="3">
        <v>1.2</v>
      </c>
      <c r="M55" s="3">
        <v>1.4</v>
      </c>
      <c r="N55" s="3">
        <v>1.6</v>
      </c>
      <c r="O55" s="3">
        <v>1.8</v>
      </c>
      <c r="P55" s="3">
        <v>2</v>
      </c>
      <c r="Q55" s="3">
        <v>2.2000000000000002</v>
      </c>
      <c r="R55" s="3">
        <v>2.4</v>
      </c>
      <c r="S55" s="3">
        <v>2.6</v>
      </c>
      <c r="T55" s="3">
        <v>2.8</v>
      </c>
    </row>
    <row r="56" spans="4:20" x14ac:dyDescent="0.3"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4:20" x14ac:dyDescent="0.3">
      <c r="D57" s="4"/>
      <c r="E57" s="3">
        <v>2</v>
      </c>
      <c r="F57" s="12">
        <f>(F31^2+F44^2)^0.5</f>
        <v>10</v>
      </c>
      <c r="G57" s="12">
        <f t="shared" ref="G57:T66" si="89">(G31^2+G44^2)^0.5</f>
        <v>9.8582767720164544</v>
      </c>
      <c r="H57" s="12">
        <f t="shared" si="89"/>
        <v>9.6756592318592016</v>
      </c>
      <c r="I57" s="12">
        <f t="shared" si="89"/>
        <v>9.4096349982475758</v>
      </c>
      <c r="J57" s="12">
        <f t="shared" si="89"/>
        <v>9.0239141568272885</v>
      </c>
      <c r="K57" s="12">
        <f t="shared" si="89"/>
        <v>8.515565317869811</v>
      </c>
      <c r="L57" s="12">
        <f t="shared" si="89"/>
        <v>7.948546603295723</v>
      </c>
      <c r="M57" s="12">
        <f t="shared" si="89"/>
        <v>7.3892546913112511</v>
      </c>
      <c r="N57" s="12">
        <f t="shared" si="89"/>
        <v>6.8790494772925292</v>
      </c>
      <c r="O57" s="12">
        <f t="shared" si="89"/>
        <v>6.4349682002551312</v>
      </c>
      <c r="P57" s="12">
        <f t="shared" si="89"/>
        <v>6.057856041978873</v>
      </c>
      <c r="Q57" s="12">
        <f t="shared" si="89"/>
        <v>5.7394576290018229</v>
      </c>
      <c r="R57" s="12">
        <f t="shared" si="89"/>
        <v>5.4669811826154913</v>
      </c>
      <c r="S57" s="12">
        <f t="shared" si="89"/>
        <v>5.2256560493881921</v>
      </c>
      <c r="T57" s="12">
        <f t="shared" si="89"/>
        <v>5</v>
      </c>
    </row>
    <row r="58" spans="4:20" x14ac:dyDescent="0.3">
      <c r="E58" s="3">
        <v>1.8</v>
      </c>
      <c r="F58" s="12">
        <f t="shared" ref="F58:N62" si="90">(F32^2+F45^2)^0.5</f>
        <v>10.001004223211858</v>
      </c>
      <c r="G58" s="8">
        <f t="shared" si="90"/>
        <v>9.8800549386978282</v>
      </c>
      <c r="H58" s="8">
        <f t="shared" si="90"/>
        <v>9.719951397190826</v>
      </c>
      <c r="I58" s="8">
        <f t="shared" si="90"/>
        <v>9.4750887394293262</v>
      </c>
      <c r="J58" s="8">
        <f t="shared" si="90"/>
        <v>9.096219564958032</v>
      </c>
      <c r="K58" s="8">
        <f t="shared" si="90"/>
        <v>8.5618002583462953</v>
      </c>
      <c r="L58" s="8">
        <f t="shared" si="90"/>
        <v>7.9646176581426991</v>
      </c>
      <c r="M58" s="8">
        <f t="shared" si="90"/>
        <v>7.3840997038813647</v>
      </c>
      <c r="N58" s="8">
        <f t="shared" si="90"/>
        <v>6.8625949833730466</v>
      </c>
      <c r="O58" s="8">
        <f t="shared" si="89"/>
        <v>6.4146380824472908</v>
      </c>
      <c r="P58" s="8">
        <f t="shared" si="89"/>
        <v>6.0385209562029614</v>
      </c>
      <c r="Q58" s="8">
        <f t="shared" si="89"/>
        <v>5.7241258410925928</v>
      </c>
      <c r="R58" s="8">
        <f t="shared" si="89"/>
        <v>5.457455439223029</v>
      </c>
      <c r="S58" s="8">
        <f t="shared" si="89"/>
        <v>5.2230430743947069</v>
      </c>
      <c r="T58" s="12">
        <f t="shared" ref="T58:T66" si="91">(T32^2+T45^2)^0.5</f>
        <v>5.0050894753996245</v>
      </c>
    </row>
    <row r="59" spans="4:20" x14ac:dyDescent="0.3">
      <c r="E59" s="3">
        <v>1.6</v>
      </c>
      <c r="F59" s="12">
        <f t="shared" si="90"/>
        <v>10.00294114472891</v>
      </c>
      <c r="G59" s="8">
        <f t="shared" si="90"/>
        <v>9.9432741400931874</v>
      </c>
      <c r="H59" s="8">
        <f t="shared" si="90"/>
        <v>9.8540853784792795</v>
      </c>
      <c r="I59" s="8">
        <f t="shared" si="90"/>
        <v>9.6863560669530191</v>
      </c>
      <c r="J59" s="8">
        <f t="shared" si="90"/>
        <v>9.3484488774985035</v>
      </c>
      <c r="K59" s="8">
        <f t="shared" si="90"/>
        <v>8.7091299190961138</v>
      </c>
      <c r="L59" s="8">
        <f t="shared" si="90"/>
        <v>8.008017579045978</v>
      </c>
      <c r="M59" s="8">
        <f t="shared" si="90"/>
        <v>7.3613725135258008</v>
      </c>
      <c r="N59" s="8">
        <f t="shared" si="90"/>
        <v>6.8071989525990855</v>
      </c>
      <c r="O59" s="8">
        <f t="shared" si="89"/>
        <v>6.3493260061695587</v>
      </c>
      <c r="P59" s="8">
        <f t="shared" si="89"/>
        <v>5.9775373706552175</v>
      </c>
      <c r="Q59" s="8">
        <f t="shared" si="89"/>
        <v>5.6760373924971121</v>
      </c>
      <c r="R59" s="8">
        <f t="shared" si="89"/>
        <v>5.4272810919850993</v>
      </c>
      <c r="S59" s="8">
        <f t="shared" si="89"/>
        <v>5.2138022473172159</v>
      </c>
      <c r="T59" s="12">
        <f t="shared" si="91"/>
        <v>5.018942599868236</v>
      </c>
    </row>
    <row r="60" spans="4:20" x14ac:dyDescent="0.3">
      <c r="E60" s="3">
        <v>1.4</v>
      </c>
      <c r="F60" s="12">
        <f t="shared" si="90"/>
        <v>10.003463389460508</v>
      </c>
      <c r="G60" s="8">
        <f t="shared" si="90"/>
        <v>10.037711404424828</v>
      </c>
      <c r="H60" s="8">
        <f t="shared" si="90"/>
        <v>10.072321190614069</v>
      </c>
      <c r="I60" s="8">
        <f t="shared" si="90"/>
        <v>10.082652358543665</v>
      </c>
      <c r="J60" s="8">
        <f t="shared" si="90"/>
        <v>9.9360347551528712</v>
      </c>
      <c r="K60" s="8">
        <f t="shared" si="90"/>
        <v>8.9760965047524213</v>
      </c>
      <c r="L60" s="8">
        <f t="shared" si="90"/>
        <v>8.056302453453382</v>
      </c>
      <c r="M60" s="8">
        <f t="shared" si="90"/>
        <v>7.2964932367109103</v>
      </c>
      <c r="N60" s="8">
        <f t="shared" si="90"/>
        <v>6.6944867629138693</v>
      </c>
      <c r="O60" s="8">
        <f t="shared" si="89"/>
        <v>6.2264965822146978</v>
      </c>
      <c r="P60" s="8">
        <f t="shared" si="89"/>
        <v>5.8664832291168638</v>
      </c>
      <c r="Q60" s="8">
        <f t="shared" si="89"/>
        <v>5.5893773705964369</v>
      </c>
      <c r="R60" s="8">
        <f t="shared" si="89"/>
        <v>5.3720686396186368</v>
      </c>
      <c r="S60" s="8">
        <f t="shared" si="89"/>
        <v>5.194062775727005</v>
      </c>
      <c r="T60" s="12">
        <f t="shared" si="91"/>
        <v>5.0375713149032277</v>
      </c>
    </row>
    <row r="61" spans="4:20" x14ac:dyDescent="0.3">
      <c r="E61" s="3">
        <v>1.2</v>
      </c>
      <c r="F61" s="12">
        <f t="shared" si="90"/>
        <v>10.001568396389853</v>
      </c>
      <c r="G61" s="8">
        <f t="shared" si="90"/>
        <v>10.134050954704309</v>
      </c>
      <c r="H61" s="8">
        <f t="shared" si="90"/>
        <v>10.324215076307498</v>
      </c>
      <c r="I61" s="8">
        <f t="shared" si="90"/>
        <v>10.664754354159466</v>
      </c>
      <c r="J61" s="8">
        <f t="shared" si="90"/>
        <v>11.399983618464992</v>
      </c>
      <c r="K61" s="8">
        <f t="shared" si="90"/>
        <v>9.334032216149053</v>
      </c>
      <c r="L61" s="8">
        <f t="shared" si="90"/>
        <v>8.0421654693765596</v>
      </c>
      <c r="M61" s="8">
        <f t="shared" si="90"/>
        <v>7.1415586853290574</v>
      </c>
      <c r="N61" s="8">
        <f t="shared" si="90"/>
        <v>6.4945985402260469</v>
      </c>
      <c r="O61" s="8">
        <f t="shared" si="89"/>
        <v>6.027358871955931</v>
      </c>
      <c r="P61" s="8">
        <f t="shared" si="89"/>
        <v>5.6932307662815065</v>
      </c>
      <c r="Q61" s="8">
        <f t="shared" si="89"/>
        <v>5.4560687634267619</v>
      </c>
      <c r="R61" s="8">
        <f t="shared" si="89"/>
        <v>5.2858815126199898</v>
      </c>
      <c r="S61" s="8">
        <f t="shared" si="89"/>
        <v>5.158520951018243</v>
      </c>
      <c r="T61" s="12">
        <f t="shared" si="91"/>
        <v>5.0552198928473775</v>
      </c>
    </row>
    <row r="62" spans="4:20" x14ac:dyDescent="0.3">
      <c r="E62" s="3">
        <v>1</v>
      </c>
      <c r="F62" s="12">
        <f t="shared" si="90"/>
        <v>10</v>
      </c>
      <c r="G62" s="12">
        <f t="shared" si="90"/>
        <v>10.177116878287688</v>
      </c>
      <c r="H62" s="12">
        <f t="shared" si="90"/>
        <v>10.445256986393131</v>
      </c>
      <c r="I62" s="12">
        <f t="shared" si="90"/>
        <v>10.970737960064731</v>
      </c>
      <c r="J62" s="12">
        <f t="shared" si="90"/>
        <v>12.622782982849847</v>
      </c>
      <c r="K62" s="8">
        <f t="shared" ref="K62:N63" si="92">(K36^2+K49^2)^0.5</f>
        <v>9.5029384253179909</v>
      </c>
      <c r="L62" s="8">
        <f t="shared" si="92"/>
        <v>7.8147985810204004</v>
      </c>
      <c r="M62" s="8">
        <f t="shared" si="92"/>
        <v>6.8275906454310373</v>
      </c>
      <c r="N62" s="8">
        <f t="shared" si="92"/>
        <v>6.1735954624989313</v>
      </c>
      <c r="O62" s="8">
        <f t="shared" si="89"/>
        <v>5.7318530669809515</v>
      </c>
      <c r="P62" s="8">
        <f t="shared" si="89"/>
        <v>5.4451560127213421</v>
      </c>
      <c r="Q62" s="8">
        <f t="shared" si="89"/>
        <v>5.2682940468512669</v>
      </c>
      <c r="R62" s="8">
        <f t="shared" si="89"/>
        <v>5.1633973933932404</v>
      </c>
      <c r="S62" s="8">
        <f t="shared" si="89"/>
        <v>5.1022350928410756</v>
      </c>
      <c r="T62" s="12">
        <f t="shared" si="91"/>
        <v>5.0657636297591662</v>
      </c>
    </row>
    <row r="63" spans="4:20" x14ac:dyDescent="0.3">
      <c r="E63" s="3">
        <v>0.8</v>
      </c>
      <c r="F63" s="11"/>
      <c r="G63" s="11"/>
      <c r="H63" s="11"/>
      <c r="I63" s="11"/>
      <c r="J63" s="11"/>
      <c r="K63" s="12">
        <f t="shared" si="92"/>
        <v>8.3148023058933038</v>
      </c>
      <c r="L63" s="8">
        <f t="shared" ref="L63:N65" si="93">(L37^2+L50^2)^0.5</f>
        <v>7.1302127872965126</v>
      </c>
      <c r="M63" s="8">
        <f t="shared" si="93"/>
        <v>6.3054239946927719</v>
      </c>
      <c r="N63" s="8">
        <f t="shared" si="93"/>
        <v>5.7146414395085579</v>
      </c>
      <c r="O63" s="8">
        <f t="shared" si="89"/>
        <v>5.3261859004520842</v>
      </c>
      <c r="P63" s="8">
        <f t="shared" si="89"/>
        <v>5.112917751972569</v>
      </c>
      <c r="Q63" s="8">
        <f t="shared" si="89"/>
        <v>5.0218727125301257</v>
      </c>
      <c r="R63" s="8">
        <f t="shared" si="89"/>
        <v>5.0030328043538024</v>
      </c>
      <c r="S63" s="8">
        <f t="shared" si="89"/>
        <v>5.0231873195599412</v>
      </c>
      <c r="T63" s="12">
        <f t="shared" si="91"/>
        <v>5.0646356108480672</v>
      </c>
    </row>
    <row r="64" spans="4:20" x14ac:dyDescent="0.3">
      <c r="E64" s="3">
        <v>0.6</v>
      </c>
      <c r="F64" s="11"/>
      <c r="G64" s="11"/>
      <c r="H64" s="11"/>
      <c r="I64" s="11"/>
      <c r="J64" s="11"/>
      <c r="K64" s="11"/>
      <c r="L64" s="12">
        <f t="shared" si="93"/>
        <v>6.4054618928717533</v>
      </c>
      <c r="M64" s="8">
        <f t="shared" si="93"/>
        <v>5.6807738295415442</v>
      </c>
      <c r="N64" s="8">
        <f t="shared" ref="N64" si="94">(N38^2+N51^2)^0.5</f>
        <v>5.1423309393087067</v>
      </c>
      <c r="O64" s="8">
        <f t="shared" si="89"/>
        <v>4.802371729527918</v>
      </c>
      <c r="P64" s="8">
        <f t="shared" si="89"/>
        <v>4.6916029164846433</v>
      </c>
      <c r="Q64" s="8">
        <f t="shared" si="89"/>
        <v>4.7204457899735059</v>
      </c>
      <c r="R64" s="8">
        <f t="shared" si="89"/>
        <v>4.8112604315287202</v>
      </c>
      <c r="S64" s="8">
        <f t="shared" si="89"/>
        <v>4.9255056393522851</v>
      </c>
      <c r="T64" s="12">
        <f t="shared" si="91"/>
        <v>5.0509519455563678</v>
      </c>
    </row>
    <row r="65" spans="5:20" x14ac:dyDescent="0.3">
      <c r="E65" s="3">
        <v>0.4</v>
      </c>
      <c r="F65" s="11"/>
      <c r="G65" s="11"/>
      <c r="H65" s="11"/>
      <c r="I65" s="11"/>
      <c r="J65" s="11"/>
      <c r="K65" s="11"/>
      <c r="L65" s="11"/>
      <c r="M65" s="12">
        <f t="shared" si="93"/>
        <v>5.0809037778973423</v>
      </c>
      <c r="N65" s="8">
        <f t="shared" ref="N65" si="95">(N39^2+N52^2)^0.5</f>
        <v>4.4816736771124281</v>
      </c>
      <c r="O65" s="8">
        <f t="shared" si="89"/>
        <v>4.1287116468998848</v>
      </c>
      <c r="P65" s="8">
        <f t="shared" si="89"/>
        <v>4.1802354508169115</v>
      </c>
      <c r="Q65" s="8">
        <f t="shared" si="89"/>
        <v>4.383909195842727</v>
      </c>
      <c r="R65" s="8">
        <f t="shared" si="89"/>
        <v>4.6090561348523575</v>
      </c>
      <c r="S65" s="8">
        <f t="shared" si="89"/>
        <v>4.8229000683209478</v>
      </c>
      <c r="T65" s="12">
        <f t="shared" si="91"/>
        <v>5.0291045629233881</v>
      </c>
    </row>
    <row r="66" spans="5:20" x14ac:dyDescent="0.3">
      <c r="E66" s="3">
        <v>0.2</v>
      </c>
      <c r="F66" s="11"/>
      <c r="G66" s="11"/>
      <c r="H66" s="11"/>
      <c r="I66" s="11"/>
      <c r="J66" s="11"/>
      <c r="K66" s="11"/>
      <c r="L66" s="11"/>
      <c r="M66" s="11"/>
      <c r="N66" s="12">
        <f t="shared" ref="N66" si="96">(N40^2+N53^2)^0.5</f>
        <v>3.825803534139975</v>
      </c>
      <c r="O66" s="8">
        <f t="shared" si="89"/>
        <v>3.1816948511790439</v>
      </c>
      <c r="P66" s="8">
        <f t="shared" si="89"/>
        <v>3.6103766243007871</v>
      </c>
      <c r="Q66" s="8">
        <f t="shared" si="89"/>
        <v>4.0725730820643635</v>
      </c>
      <c r="R66" s="8">
        <f t="shared" si="89"/>
        <v>4.4404154495376167</v>
      </c>
      <c r="S66" s="8">
        <f t="shared" si="89"/>
        <v>4.7402981245115052</v>
      </c>
      <c r="T66" s="12">
        <f t="shared" si="91"/>
        <v>5.0085329252858859</v>
      </c>
    </row>
    <row r="67" spans="5:20" x14ac:dyDescent="0.3">
      <c r="E67" s="3">
        <v>0</v>
      </c>
      <c r="F67" s="11"/>
      <c r="G67" s="11"/>
      <c r="H67" s="11"/>
      <c r="I67" s="11"/>
      <c r="J67" s="11"/>
      <c r="K67" s="11"/>
      <c r="L67" s="11"/>
      <c r="M67" s="11"/>
      <c r="N67" s="11"/>
      <c r="O67" s="12">
        <f t="shared" ref="O67:S67" si="97">(O41^2+O54^2)^0.5</f>
        <v>2.1832321548737119</v>
      </c>
      <c r="P67" s="12">
        <f t="shared" si="97"/>
        <v>3.2800235807708034</v>
      </c>
      <c r="Q67" s="12">
        <f t="shared" si="97"/>
        <v>3.9307642443981137</v>
      </c>
      <c r="R67" s="12">
        <f t="shared" si="97"/>
        <v>4.37132574084578</v>
      </c>
      <c r="S67" s="12">
        <f t="shared" si="97"/>
        <v>4.7077636928333977</v>
      </c>
      <c r="T67" s="12">
        <f t="shared" ref="T67" si="98">(T41^2+T54^2)^0.5</f>
        <v>5</v>
      </c>
    </row>
    <row r="68" spans="5:20" x14ac:dyDescent="0.3">
      <c r="F68" s="3">
        <v>0</v>
      </c>
      <c r="G68" s="3">
        <v>0.2</v>
      </c>
      <c r="H68" s="3">
        <v>0.4</v>
      </c>
      <c r="I68" s="3">
        <v>0.6</v>
      </c>
      <c r="J68" s="3">
        <v>0.8</v>
      </c>
      <c r="K68" s="3">
        <v>1</v>
      </c>
      <c r="L68" s="3">
        <v>1.2</v>
      </c>
      <c r="M68" s="3">
        <v>1.4</v>
      </c>
      <c r="N68" s="3">
        <v>1.6</v>
      </c>
      <c r="O68" s="3">
        <v>1.8</v>
      </c>
      <c r="P68" s="3">
        <v>2</v>
      </c>
      <c r="Q68" s="3">
        <v>2.2000000000000002</v>
      </c>
      <c r="R68" s="3">
        <v>2.4</v>
      </c>
      <c r="S68" s="3">
        <v>2.6</v>
      </c>
      <c r="T68" s="3">
        <v>2.8</v>
      </c>
    </row>
  </sheetData>
  <conditionalFormatting sqref="F18:T2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Автонеев</dc:creator>
  <cp:lastModifiedBy>Юрий Автонеев</cp:lastModifiedBy>
  <dcterms:created xsi:type="dcterms:W3CDTF">2021-11-16T02:07:26Z</dcterms:created>
  <dcterms:modified xsi:type="dcterms:W3CDTF">2021-11-16T05:15:35Z</dcterms:modified>
</cp:coreProperties>
</file>