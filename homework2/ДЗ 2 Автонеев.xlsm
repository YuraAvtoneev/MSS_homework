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sers\MAURER\Documents\Юра\Учёба\5 семестр\МСС\"/>
    </mc:Choice>
  </mc:AlternateContent>
  <xr:revisionPtr revIDLastSave="0" documentId="8_{5F388E96-7DCC-4608-89DF-19D42C6772B6}" xr6:coauthVersionLast="37" xr6:coauthVersionMax="37" xr10:uidLastSave="{00000000-0000-0000-0000-000000000000}"/>
  <bookViews>
    <workbookView xWindow="0" yWindow="0" windowWidth="23040" windowHeight="8484" activeTab="2" xr2:uid="{A49C7AD1-A369-4D10-A00A-4D7630F87029}"/>
  </bookViews>
  <sheets>
    <sheet name="Усл. 1-го рода" sheetId="3" r:id="rId1"/>
    <sheet name="Усл. 2-го рода" sheetId="1" r:id="rId2"/>
    <sheet name="Усл. 3-го рода" sheetId="2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2" l="1"/>
  <c r="F13" i="2"/>
  <c r="AJ13" i="3"/>
  <c r="F13" i="3"/>
  <c r="C4" i="3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I12" i="2"/>
  <c r="J12" i="2"/>
  <c r="K12" i="2"/>
  <c r="L12" i="2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C5" i="3" l="1"/>
  <c r="AG15" i="3" l="1"/>
  <c r="AC15" i="3"/>
  <c r="Y15" i="3"/>
  <c r="U15" i="3"/>
  <c r="Q15" i="3"/>
  <c r="M15" i="3"/>
  <c r="I15" i="3"/>
  <c r="AF15" i="3"/>
  <c r="AB15" i="3"/>
  <c r="X15" i="3"/>
  <c r="T15" i="3"/>
  <c r="P15" i="3"/>
  <c r="L15" i="3"/>
  <c r="H15" i="3"/>
  <c r="AI15" i="3"/>
  <c r="AE15" i="3"/>
  <c r="AA15" i="3"/>
  <c r="W15" i="3"/>
  <c r="S15" i="3"/>
  <c r="O15" i="3"/>
  <c r="K15" i="3"/>
  <c r="G15" i="3"/>
  <c r="AH15" i="3"/>
  <c r="AD15" i="3"/>
  <c r="Z15" i="3"/>
  <c r="V15" i="3"/>
  <c r="R15" i="3"/>
  <c r="N15" i="3"/>
  <c r="J15" i="3"/>
  <c r="H15" i="2" l="1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C5" i="2"/>
  <c r="H12" i="2"/>
  <c r="AH12" i="2" s="1"/>
  <c r="AI12" i="2" s="1"/>
  <c r="AJ12" i="2" s="1"/>
  <c r="G12" i="2"/>
  <c r="C4" i="2"/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3" i="1"/>
  <c r="G16" i="1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G15" i="1" l="1"/>
  <c r="G15" i="2" l="1"/>
</calcChain>
</file>

<file path=xl/sharedStrings.xml><?xml version="1.0" encoding="utf-8"?>
<sst xmlns="http://schemas.openxmlformats.org/spreadsheetml/2006/main" count="41" uniqueCount="19">
  <si>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</si>
  <si>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</si>
  <si>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</si>
  <si>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</si>
  <si>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</si>
  <si>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</si>
  <si>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</si>
  <si>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</si>
  <si>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</si>
  <si>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</si>
  <si>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q_start</t>
  </si>
  <si>
    <t>q</t>
  </si>
  <si>
    <t>T_start</t>
  </si>
  <si>
    <t>Tw1</t>
  </si>
  <si>
    <t>Tw2</t>
  </si>
  <si>
    <t>Tg1</t>
  </si>
  <si>
    <t>Tg2</t>
  </si>
  <si>
    <t>α1</t>
  </si>
  <si>
    <t>α2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</si>
</sst>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/>
    <xf numFmtId="0" fontId="0" fillId="0" borderId="0" xfId="0" applyBorder="1"/>
    <xf numFmtId="164" fontId="0" fillId="0" borderId="2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'Усл. 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'Усл.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52-480E-ACA2-0C2C3D182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'Усл. 2-го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'Усл. 2-го рода'!$F$13:$AJ$13</c:f>
              <c:numCache>
                <c:formatCode>General</c:formatCode>
                <c:ptCount val="31"/>
                <c:pt idx="0">
                  <c:v>299.99998838365582</c:v>
                </c:pt>
                <c:pt idx="1">
                  <c:v>293.33332171698913</c:v>
                </c:pt>
                <c:pt idx="2">
                  <c:v>286.66665508325025</c:v>
                </c:pt>
                <c:pt idx="3">
                  <c:v>279.99998848234577</c:v>
                </c:pt>
                <c:pt idx="4">
                  <c:v>273.33332191408937</c:v>
                </c:pt>
                <c:pt idx="5">
                  <c:v>266.66665537820211</c:v>
                </c:pt>
                <c:pt idx="6">
                  <c:v>259.99998887431309</c:v>
                </c:pt>
                <c:pt idx="7">
                  <c:v>253.33332240196125</c:v>
                </c:pt>
                <c:pt idx="8">
                  <c:v>246.66665596059539</c:v>
                </c:pt>
                <c:pt idx="9">
                  <c:v>239.99998954957718</c:v>
                </c:pt>
                <c:pt idx="10">
                  <c:v>233.33332316818172</c:v>
                </c:pt>
                <c:pt idx="11">
                  <c:v>226.66665681560056</c:v>
                </c:pt>
                <c:pt idx="12">
                  <c:v>219.99999049094328</c:v>
                </c:pt>
                <c:pt idx="13">
                  <c:v>213.33332419324049</c:v>
                </c:pt>
                <c:pt idx="14">
                  <c:v>206.66665792144624</c:v>
                </c:pt>
                <c:pt idx="15">
                  <c:v>199.9999916744413</c:v>
                </c:pt>
                <c:pt idx="16">
                  <c:v>193.33332545103605</c:v>
                </c:pt>
                <c:pt idx="17">
                  <c:v>186.66665924997403</c:v>
                </c:pt>
                <c:pt idx="18">
                  <c:v>179.99999306993547</c:v>
                </c:pt>
                <c:pt idx="19">
                  <c:v>173.33332690954086</c:v>
                </c:pt>
                <c:pt idx="20">
                  <c:v>166.66666076735527</c:v>
                </c:pt>
                <c:pt idx="21">
                  <c:v>159.99999464189187</c:v>
                </c:pt>
                <c:pt idx="22">
                  <c:v>153.33332853161659</c:v>
                </c:pt>
                <c:pt idx="23">
                  <c:v>146.66666243495234</c:v>
                </c:pt>
                <c:pt idx="24">
                  <c:v>139.99999635028331</c:v>
                </c:pt>
                <c:pt idx="25">
                  <c:v>133.33333027595984</c:v>
                </c:pt>
                <c:pt idx="26">
                  <c:v>126.66666421030278</c:v>
                </c:pt>
                <c:pt idx="27">
                  <c:v>119.99999815160858</c:v>
                </c:pt>
                <c:pt idx="28">
                  <c:v>113.33333209815386</c:v>
                </c:pt>
                <c:pt idx="29">
                  <c:v>106.66666604820037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55-4E49-BC39-B6C7F0A48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253376"/>
        <c:axId val="656173184"/>
      </c:scatterChart>
      <c:valAx>
        <c:axId val="7712533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6173184"/>
        <c:crosses val="autoZero"/>
        <c:crossBetween val="midCat"/>
      </c:valAx>
      <c:valAx>
        <c:axId val="656173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125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'Усл. 3-го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'Усл. 3-го рода'!$F$13:$AJ$13</c:f>
              <c:numCache>
                <c:formatCode>General</c:formatCode>
                <c:ptCount val="31"/>
                <c:pt idx="0">
                  <c:v>20.738847456896387</c:v>
                </c:pt>
                <c:pt idx="1">
                  <c:v>20.16239777589368</c:v>
                </c:pt>
                <c:pt idx="2">
                  <c:v>19.62529183741243</c:v>
                </c:pt>
                <c:pt idx="3">
                  <c:v>19.127605556147408</c:v>
                </c:pt>
                <c:pt idx="4">
                  <c:v>18.668265088320432</c:v>
                </c:pt>
                <c:pt idx="5">
                  <c:v>18.247445027427808</c:v>
                </c:pt>
                <c:pt idx="6">
                  <c:v>17.863062248678375</c:v>
                </c:pt>
                <c:pt idx="7">
                  <c:v>17.515391110287592</c:v>
                </c:pt>
                <c:pt idx="8">
                  <c:v>17.201509773159263</c:v>
                </c:pt>
                <c:pt idx="9">
                  <c:v>16.921792994116217</c:v>
                </c:pt>
                <c:pt idx="10">
                  <c:v>16.672707675464764</c:v>
                </c:pt>
                <c:pt idx="11">
                  <c:v>16.4547269554281</c:v>
                </c:pt>
                <c:pt idx="12">
                  <c:v>16.263962413833607</c:v>
                </c:pt>
                <c:pt idx="13">
                  <c:v>16.100978394480247</c:v>
                </c:pt>
                <c:pt idx="14">
                  <c:v>15.961786338390084</c:v>
                </c:pt>
                <c:pt idx="15">
                  <c:v>15.847027179242737</c:v>
                </c:pt>
                <c:pt idx="16">
                  <c:v>15.752841394107215</c:v>
                </c:pt>
                <c:pt idx="17">
                  <c:v>15.679922967051708</c:v>
                </c:pt>
                <c:pt idx="18">
                  <c:v>15.62472687896874</c:v>
                </c:pt>
                <c:pt idx="19">
                  <c:v>15.587967517135716</c:v>
                </c:pt>
                <c:pt idx="20">
                  <c:v>15.566547766132814</c:v>
                </c:pt>
                <c:pt idx="21">
                  <c:v>15.561162095040801</c:v>
                </c:pt>
                <c:pt idx="22">
                  <c:v>15.569243458817519</c:v>
                </c:pt>
                <c:pt idx="23">
                  <c:v>15.591421493810833</c:v>
                </c:pt>
                <c:pt idx="24">
                  <c:v>15.625698424639275</c:v>
                </c:pt>
                <c:pt idx="25">
                  <c:v>15.672593965671251</c:v>
                </c:pt>
                <c:pt idx="26">
                  <c:v>15.730688721062048</c:v>
                </c:pt>
                <c:pt idx="27">
                  <c:v>15.800352344802437</c:v>
                </c:pt>
                <c:pt idx="28">
                  <c:v>15.88073711373813</c:v>
                </c:pt>
                <c:pt idx="29">
                  <c:v>15.972032419941918</c:v>
                </c:pt>
                <c:pt idx="30">
                  <c:v>16.073952327838438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B3-448A-A647-CB3A03F3F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18</xdr:row>
      <xdr:rowOff>0</xdr:rowOff>
    </xdr:from>
    <xdr:to>
      <xdr:col>15</xdr:col>
      <xdr:colOff>30480</xdr:colOff>
      <xdr:row>34</xdr:row>
      <xdr:rowOff>60960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F1FF950-66F7-486D-A8A9-A065BFD6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0.01035</cdr:x>
      <cdr:y>0.01701</cdr:y>
    </cdr:from>
    <cdr:to>
      <cdr:x>0.13025</cdr:x>
      <cdr:y>0.11135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18</xdr:row>
      <xdr:rowOff>180974</xdr:rowOff>
    </xdr:from>
    <xdr:to>
      <xdr:col>17</xdr:col>
      <xdr:colOff>19050</xdr:colOff>
      <xdr:row>46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22D0D77-688A-447D-8B00-E33286213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47625</xdr:colOff>
      <xdr:row>19</xdr:row>
      <xdr:rowOff>38100</xdr:rowOff>
    </xdr:from>
    <xdr:ext cx="58836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xdr:cNvPr>
            <xdr:cNvSpPr txBox="1"/>
          </xdr:nvSpPr>
          <xdr:spPr>
            <a:xfrm>
              <a:off x="3686175" y="3476625"/>
              <a:ext cx="58836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xdr:cNvPr>
            <xdr:cNvSpPr txBox="1"/>
          </xdr:nvSpPr>
          <xdr:spPr>
            <a:xfrm>
              <a:off x="3686175" y="3476625"/>
              <a:ext cx="58836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15</xdr:col>
      <xdr:colOff>228600</xdr:colOff>
      <xdr:row>44</xdr:row>
      <xdr:rowOff>38100</xdr:rowOff>
    </xdr:from>
    <xdr:ext cx="569836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xdr:cNvPr>
            <xdr:cNvSpPr txBox="1"/>
          </xdr:nvSpPr>
          <xdr:spPr>
            <a:xfrm>
              <a:off x="7810500" y="8001000"/>
              <a:ext cx="569836" cy="3130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xdr:cNvPr>
            <xdr:cNvSpPr txBox="1"/>
          </xdr:nvSpPr>
          <xdr:spPr>
            <a:xfrm>
              <a:off x="7810500" y="8001000"/>
              <a:ext cx="569836" cy="3130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  <xdr:twoCellAnchor>
    <xdr:from>
      <xdr:col>6</xdr:col>
      <xdr:colOff>0</xdr:colOff>
      <xdr:row>14</xdr:row>
      <xdr:rowOff>0</xdr:rowOff>
    </xdr:from>
    <xdr:to>
      <xdr:col>7</xdr:col>
      <xdr:colOff>76200</xdr:colOff>
      <xdr:row>16</xdr:row>
      <xdr:rowOff>91440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470C963A-F7F3-4FF9-AF37-34B57B3408F1}"/>
            </a:ext>
          </a:extLst>
        </xdr:cNvPr>
        <xdr:cNvSpPr txBox="1">
          <a:spLocks noChangeArrowheads="1"/>
        </xdr:cNvSpPr>
      </xdr:nvSpPr>
      <xdr:spPr bwMode="auto">
        <a:xfrm>
          <a:off x="3642360" y="2560320"/>
          <a:ext cx="533400" cy="457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Усл. 1-го рода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426720</xdr:colOff>
      <xdr:row>16</xdr:row>
      <xdr:rowOff>15240</xdr:rowOff>
    </xdr:from>
    <xdr:to>
      <xdr:col>34</xdr:col>
      <xdr:colOff>30480</xdr:colOff>
      <xdr:row>32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B158888-AA2D-4A09-ABED-FB64C1ED6A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0.01035</cdr:x>
      <cdr:y>0.01701</cdr:y>
    </cdr:from>
    <cdr:to>
      <cdr:x>0.13025</cdr:x>
      <cdr:y>0.11135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A4975-E3A6-4230-82A9-5C8BAC831EB3}">
  <dimension ref="B3:AJ15"/>
  <sheetViews>
    <sheetView workbookViewId="0">
      <selection activeCell="R6" sqref="R5:R6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(C9*C8*(C4)^2)/(2*C10)</f>
        <v>0.4333333333333334</v>
      </c>
    </row>
    <row r="6" spans="2:36" x14ac:dyDescent="0.3">
      <c r="B6" s="6" t="s">
        <v>3</v>
      </c>
      <c r="C6" s="6">
        <v>60</v>
      </c>
      <c r="D6">
        <v>60.233333333333341</v>
      </c>
    </row>
    <row r="7" spans="2:36" x14ac:dyDescent="0.3">
      <c r="B7" s="8"/>
      <c r="C7" s="8"/>
    </row>
    <row r="8" spans="2:36" x14ac:dyDescent="0.3">
      <c r="B8" s="7" t="s">
        <v>4</v>
      </c>
      <c r="C8" s="7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6" t="s">
        <v>6</v>
      </c>
      <c r="C10" s="6">
        <v>46</v>
      </c>
    </row>
    <row r="11" spans="2:36" x14ac:dyDescent="0.3">
      <c r="B11" s="8"/>
      <c r="C11" s="8"/>
      <c r="E11" s="10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7" t="s">
        <v>12</v>
      </c>
      <c r="C12" s="7">
        <v>300</v>
      </c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2:36" x14ac:dyDescent="0.3">
      <c r="B13" s="2" t="s">
        <v>8</v>
      </c>
      <c r="C13" s="2">
        <v>100</v>
      </c>
      <c r="E13" s="10" t="s">
        <v>7</v>
      </c>
      <c r="F13" s="12">
        <f>C12</f>
        <v>300</v>
      </c>
      <c r="G13" s="12">
        <v>280.34602914679897</v>
      </c>
      <c r="H13" s="12">
        <v>260.69205829359794</v>
      </c>
      <c r="I13" s="12">
        <v>241.69187227593491</v>
      </c>
      <c r="J13" s="12">
        <v>222.69168625827183</v>
      </c>
      <c r="K13" s="12">
        <v>204.95390631913148</v>
      </c>
      <c r="L13" s="12">
        <v>187.21612637999107</v>
      </c>
      <c r="M13" s="12">
        <v>171.26453784334268</v>
      </c>
      <c r="N13" s="12">
        <v>155.31294930669429</v>
      </c>
      <c r="O13" s="12">
        <v>141.55671337374599</v>
      </c>
      <c r="P13" s="12">
        <v>127.80047744079765</v>
      </c>
      <c r="Q13" s="12">
        <v>116.51671674932982</v>
      </c>
      <c r="R13" s="12">
        <v>105.23295605786197</v>
      </c>
      <c r="S13" s="12">
        <v>96.561989352755049</v>
      </c>
      <c r="T13" s="12">
        <v>87.891022647648128</v>
      </c>
      <c r="U13" s="12">
        <v>81.842538774051832</v>
      </c>
      <c r="V13" s="12">
        <v>75.794054900455549</v>
      </c>
      <c r="W13" s="12">
        <v>72.261187114604226</v>
      </c>
      <c r="X13" s="12">
        <v>68.728319328752917</v>
      </c>
      <c r="Y13" s="12">
        <v>67.506108522455037</v>
      </c>
      <c r="Z13" s="12">
        <v>66.283897716157142</v>
      </c>
      <c r="AA13" s="12">
        <v>67.088962026000345</v>
      </c>
      <c r="AB13" s="12">
        <v>67.894026335843549</v>
      </c>
      <c r="AC13" s="12">
        <v>70.383127200086093</v>
      </c>
      <c r="AD13" s="12">
        <v>72.872228064328638</v>
      </c>
      <c r="AE13" s="12">
        <v>76.658491877071754</v>
      </c>
      <c r="AF13" s="12">
        <v>80.444755689814855</v>
      </c>
      <c r="AG13" s="12">
        <v>85.111263870845988</v>
      </c>
      <c r="AH13" s="12">
        <v>89.777772051877108</v>
      </c>
      <c r="AI13" s="12">
        <v>94.888886025938547</v>
      </c>
      <c r="AJ13" s="12">
        <f>C13</f>
        <v>100</v>
      </c>
    </row>
    <row r="15" spans="2:36" x14ac:dyDescent="0.3">
      <c r="E15" t="s">
        <v>9</v>
      </c>
      <c r="G15">
        <f>G13+(($C$10*$C$5)/($C$9*$C$8))*((H13-2*G13+F13)/($C$4^2))</f>
        <v>280.34602914679897</v>
      </c>
      <c r="H15">
        <f t="shared" ref="H15:AI15" si="1">H13+(($C$10*$C$5)/($C$9*$C$8))*((I13-2*H13+G13)/($C$4^2))</f>
        <v>261.01895071136693</v>
      </c>
      <c r="I15">
        <f t="shared" si="1"/>
        <v>241.69187227593488</v>
      </c>
      <c r="J15">
        <f t="shared" si="1"/>
        <v>223.32288929753321</v>
      </c>
      <c r="K15">
        <f t="shared" si="1"/>
        <v>204.95390631913145</v>
      </c>
      <c r="L15">
        <f t="shared" si="1"/>
        <v>188.10922208123708</v>
      </c>
      <c r="M15">
        <f t="shared" si="1"/>
        <v>171.26453784334268</v>
      </c>
      <c r="N15">
        <f t="shared" si="1"/>
        <v>156.41062560854434</v>
      </c>
      <c r="O15">
        <f t="shared" si="1"/>
        <v>141.55671337374596</v>
      </c>
      <c r="P15">
        <f t="shared" si="1"/>
        <v>129.0367150615379</v>
      </c>
      <c r="Q15">
        <f t="shared" si="1"/>
        <v>116.51671674932982</v>
      </c>
      <c r="R15">
        <f t="shared" si="1"/>
        <v>106.53935305104244</v>
      </c>
      <c r="S15">
        <f t="shared" si="1"/>
        <v>96.561989352755049</v>
      </c>
      <c r="T15">
        <f t="shared" si="1"/>
        <v>89.202264063403447</v>
      </c>
      <c r="U15">
        <f t="shared" si="1"/>
        <v>81.842538774051832</v>
      </c>
      <c r="V15">
        <f t="shared" si="1"/>
        <v>77.051862944328036</v>
      </c>
      <c r="W15">
        <f t="shared" si="1"/>
        <v>72.26118711460424</v>
      </c>
      <c r="X15">
        <f t="shared" si="1"/>
        <v>69.883647818529624</v>
      </c>
      <c r="Y15">
        <f t="shared" si="1"/>
        <v>67.506108522455037</v>
      </c>
      <c r="Z15">
        <f t="shared" si="1"/>
        <v>67.297535274227698</v>
      </c>
      <c r="AA15">
        <f t="shared" si="1"/>
        <v>67.088962026000345</v>
      </c>
      <c r="AB15">
        <f t="shared" si="1"/>
        <v>68.736044613043219</v>
      </c>
      <c r="AC15">
        <f t="shared" si="1"/>
        <v>70.383127200086093</v>
      </c>
      <c r="AD15">
        <f t="shared" si="1"/>
        <v>73.520809538578931</v>
      </c>
      <c r="AE15">
        <f t="shared" si="1"/>
        <v>76.658491877071754</v>
      </c>
      <c r="AF15">
        <f t="shared" si="1"/>
        <v>80.884877873958871</v>
      </c>
      <c r="AG15">
        <f t="shared" si="1"/>
        <v>85.111263870845988</v>
      </c>
      <c r="AH15">
        <f t="shared" si="1"/>
        <v>90.000074948392268</v>
      </c>
      <c r="AI15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BA481-E141-473B-9B92-7D2E421EA8C2}">
  <sheetPr codeName="Лист1"/>
  <dimension ref="B3:AJ16"/>
  <sheetViews>
    <sheetView topLeftCell="C7" zoomScale="80" zoomScaleNormal="80" workbookViewId="0">
      <selection activeCell="G15" sqref="G15"/>
    </sheetView>
  </sheetViews>
  <sheetFormatPr defaultRowHeight="14.4" x14ac:dyDescent="0.3"/>
  <cols>
    <col min="3" max="3" width="11.109375" customWidth="1"/>
    <col min="6" max="6" width="6.44140625" bestFit="1" customWidth="1"/>
    <col min="7" max="7" width="6.6640625" bestFit="1" customWidth="1"/>
    <col min="8" max="36" width="6.441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5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6" t="s">
        <v>3</v>
      </c>
      <c r="C6" s="6">
        <v>5000</v>
      </c>
      <c r="D6">
        <v>5000.2333333333345</v>
      </c>
    </row>
    <row r="7" spans="2:36" x14ac:dyDescent="0.3">
      <c r="B7" s="8"/>
      <c r="C7" s="8"/>
    </row>
    <row r="8" spans="2:36" x14ac:dyDescent="0.3">
      <c r="B8" s="7" t="s">
        <v>4</v>
      </c>
      <c r="C8" s="7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6" t="s">
        <v>6</v>
      </c>
      <c r="C10" s="6">
        <v>46</v>
      </c>
    </row>
    <row r="11" spans="2:36" x14ac:dyDescent="0.3">
      <c r="B11" s="8"/>
      <c r="C11" s="8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7" t="s">
        <v>10</v>
      </c>
      <c r="C12" s="7">
        <v>92000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(F16/C10)*C4+G13</f>
        <v>299.99998838365582</v>
      </c>
      <c r="G13" s="1">
        <v>293.33332171698913</v>
      </c>
      <c r="H13" s="1">
        <v>286.66665508325025</v>
      </c>
      <c r="I13" s="1">
        <v>279.99998848234577</v>
      </c>
      <c r="J13" s="1">
        <v>273.33332191408937</v>
      </c>
      <c r="K13" s="1">
        <v>266.66665537820211</v>
      </c>
      <c r="L13" s="1">
        <v>259.99998887431309</v>
      </c>
      <c r="M13" s="1">
        <v>253.33332240196125</v>
      </c>
      <c r="N13" s="1">
        <v>246.66665596059539</v>
      </c>
      <c r="O13" s="1">
        <v>239.99998954957718</v>
      </c>
      <c r="P13" s="1">
        <v>233.33332316818172</v>
      </c>
      <c r="Q13" s="1">
        <v>226.66665681560056</v>
      </c>
      <c r="R13" s="1">
        <v>219.99999049094328</v>
      </c>
      <c r="S13" s="1">
        <v>213.33332419324049</v>
      </c>
      <c r="T13" s="1">
        <v>206.66665792144624</v>
      </c>
      <c r="U13" s="1">
        <v>199.9999916744413</v>
      </c>
      <c r="V13" s="1">
        <v>193.33332545103605</v>
      </c>
      <c r="W13" s="1">
        <v>186.66665924997403</v>
      </c>
      <c r="X13" s="1">
        <v>179.99999306993547</v>
      </c>
      <c r="Y13" s="1">
        <v>173.33332690954086</v>
      </c>
      <c r="Z13" s="1">
        <v>166.66666076735527</v>
      </c>
      <c r="AA13" s="1">
        <v>159.99999464189187</v>
      </c>
      <c r="AB13" s="1">
        <v>153.33332853161659</v>
      </c>
      <c r="AC13" s="1">
        <v>146.66666243495234</v>
      </c>
      <c r="AD13" s="1">
        <v>139.99999635028331</v>
      </c>
      <c r="AE13" s="1">
        <v>133.33333027595984</v>
      </c>
      <c r="AF13" s="1">
        <v>126.66666421030278</v>
      </c>
      <c r="AG13" s="1">
        <v>119.99999815160858</v>
      </c>
      <c r="AH13" s="1">
        <v>113.33333209815386</v>
      </c>
      <c r="AI13" s="1">
        <v>106.66666604820037</v>
      </c>
      <c r="AJ13" s="1">
        <f>C13</f>
        <v>100</v>
      </c>
    </row>
    <row r="15" spans="2:36" x14ac:dyDescent="0.3">
      <c r="E15" t="s">
        <v>9</v>
      </c>
      <c r="G15">
        <f>G13+(($C$10*$C$5)/($C$9*$C$8))*((H13-2*G13+F13)/($C$4^2))</f>
        <v>293.33332173345303</v>
      </c>
      <c r="H15">
        <f t="shared" ref="H15:AI15" si="1">H13+(($C$10*$C$5)/($C$9*$C$8))*((I13-2*H13+G13)/($C$4^2))</f>
        <v>286.66665509966742</v>
      </c>
      <c r="I15">
        <f t="shared" si="1"/>
        <v>279.99998849866984</v>
      </c>
      <c r="J15">
        <f t="shared" si="1"/>
        <v>273.33332193027394</v>
      </c>
      <c r="K15">
        <f t="shared" si="1"/>
        <v>266.66665539420126</v>
      </c>
      <c r="L15">
        <f t="shared" si="1"/>
        <v>259.99998889008168</v>
      </c>
      <c r="M15">
        <f t="shared" si="1"/>
        <v>253.33332241745424</v>
      </c>
      <c r="N15">
        <f t="shared" si="1"/>
        <v>246.66665597576923</v>
      </c>
      <c r="O15">
        <f t="shared" si="1"/>
        <v>239.99998956438856</v>
      </c>
      <c r="P15">
        <f t="shared" si="1"/>
        <v>233.33332318258886</v>
      </c>
      <c r="Q15">
        <f t="shared" si="1"/>
        <v>226.6666568295625</v>
      </c>
      <c r="R15">
        <f t="shared" si="1"/>
        <v>219.99999050442051</v>
      </c>
      <c r="S15">
        <f t="shared" si="1"/>
        <v>213.33332420619476</v>
      </c>
      <c r="T15">
        <f t="shared" si="1"/>
        <v>206.6666579338409</v>
      </c>
      <c r="U15">
        <f t="shared" si="1"/>
        <v>199.99999168624115</v>
      </c>
      <c r="V15">
        <f t="shared" si="1"/>
        <v>193.33332546220765</v>
      </c>
      <c r="W15">
        <f t="shared" si="1"/>
        <v>186.66665926048574</v>
      </c>
      <c r="X15">
        <f t="shared" si="1"/>
        <v>179.99999307975745</v>
      </c>
      <c r="Y15">
        <f t="shared" si="1"/>
        <v>173.33332691864535</v>
      </c>
      <c r="Z15">
        <f t="shared" si="1"/>
        <v>166.66666077571637</v>
      </c>
      <c r="AA15">
        <f t="shared" si="1"/>
        <v>159.99999464948593</v>
      </c>
      <c r="AB15">
        <f t="shared" si="1"/>
        <v>153.33332853842211</v>
      </c>
      <c r="AC15">
        <f t="shared" si="1"/>
        <v>146.66666244094995</v>
      </c>
      <c r="AD15">
        <f t="shared" si="1"/>
        <v>139.99999635545609</v>
      </c>
      <c r="AE15">
        <f t="shared" si="1"/>
        <v>133.33333028029304</v>
      </c>
      <c r="AF15">
        <f t="shared" si="1"/>
        <v>126.66666421378422</v>
      </c>
      <c r="AG15">
        <f t="shared" si="1"/>
        <v>119.99999815422832</v>
      </c>
      <c r="AH15">
        <f t="shared" si="1"/>
        <v>113.33333209990448</v>
      </c>
      <c r="AI15">
        <f t="shared" si="1"/>
        <v>106.66666604907692</v>
      </c>
    </row>
    <row r="16" spans="2:36" x14ac:dyDescent="0.3">
      <c r="E16" t="s">
        <v>11</v>
      </c>
      <c r="F16">
        <v>92000</v>
      </c>
      <c r="G16">
        <f>-$C$10*((G13-F13)/$C$4)</f>
        <v>92000.000000000247</v>
      </c>
      <c r="H16">
        <f t="shared" ref="H16:AI16" si="2">-$C$10*((H13-G13)/$C$4)</f>
        <v>91999.999545596598</v>
      </c>
      <c r="I16">
        <f t="shared" si="2"/>
        <v>91999.999092481783</v>
      </c>
      <c r="J16">
        <f t="shared" si="2"/>
        <v>91999.998641938349</v>
      </c>
      <c r="K16">
        <f t="shared" si="2"/>
        <v>91999.998195244174</v>
      </c>
      <c r="L16">
        <f t="shared" si="2"/>
        <v>91999.997753668446</v>
      </c>
      <c r="M16">
        <f t="shared" si="2"/>
        <v>91999.997318455309</v>
      </c>
      <c r="N16">
        <f t="shared" si="2"/>
        <v>91999.996890848895</v>
      </c>
      <c r="O16">
        <f t="shared" si="2"/>
        <v>91999.996472051324</v>
      </c>
      <c r="P16">
        <f t="shared" si="2"/>
        <v>91999.99606325732</v>
      </c>
      <c r="Q16">
        <f t="shared" si="2"/>
        <v>91999.995665619994</v>
      </c>
      <c r="R16">
        <f t="shared" si="2"/>
        <v>91999.995280270523</v>
      </c>
      <c r="S16">
        <f t="shared" si="2"/>
        <v>91999.994908298497</v>
      </c>
      <c r="T16">
        <f t="shared" si="2"/>
        <v>91999.99455076053</v>
      </c>
      <c r="U16">
        <f t="shared" si="2"/>
        <v>91999.994208668169</v>
      </c>
      <c r="V16">
        <f t="shared" si="2"/>
        <v>91999.993882992552</v>
      </c>
      <c r="W16">
        <f t="shared" si="2"/>
        <v>91999.993574655789</v>
      </c>
      <c r="X16">
        <f t="shared" si="2"/>
        <v>91999.993284532145</v>
      </c>
      <c r="Y16">
        <f t="shared" si="2"/>
        <v>91999.993013445652</v>
      </c>
      <c r="Z16">
        <f t="shared" si="2"/>
        <v>91999.992762161142</v>
      </c>
      <c r="AA16">
        <f t="shared" si="2"/>
        <v>91999.992531394819</v>
      </c>
      <c r="AB16">
        <f t="shared" si="2"/>
        <v>91999.992321798942</v>
      </c>
      <c r="AC16">
        <f t="shared" si="2"/>
        <v>91999.99213396656</v>
      </c>
      <c r="AD16">
        <f t="shared" si="2"/>
        <v>91999.991968432631</v>
      </c>
      <c r="AE16">
        <f t="shared" si="2"/>
        <v>91999.991825663921</v>
      </c>
      <c r="AF16">
        <f t="shared" si="2"/>
        <v>91999.991706067347</v>
      </c>
      <c r="AG16">
        <f t="shared" si="2"/>
        <v>91999.991609980003</v>
      </c>
      <c r="AH16">
        <f t="shared" si="2"/>
        <v>91999.991537675116</v>
      </c>
      <c r="AI16">
        <f t="shared" si="2"/>
        <v>91999.991489358174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45EA1-3A98-4452-9AA1-87B74D80B60F}">
  <dimension ref="B3:AJ19"/>
  <sheetViews>
    <sheetView tabSelected="1" topLeftCell="G1" workbookViewId="0">
      <selection activeCell="C7" sqref="C7"/>
    </sheetView>
  </sheetViews>
  <sheetFormatPr defaultRowHeight="14.4" x14ac:dyDescent="0.3"/>
  <cols>
    <col min="5" max="5" width="5.77734375" bestFit="1" customWidth="1"/>
    <col min="6" max="36" width="6.441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(C9*C8*(C4)^2)/(2*C10)</f>
        <v>0.4333333333333334</v>
      </c>
    </row>
    <row r="6" spans="2:36" x14ac:dyDescent="0.3">
      <c r="B6" s="6" t="s">
        <v>3</v>
      </c>
      <c r="C6" s="6">
        <v>60</v>
      </c>
      <c r="D6">
        <v>60.233333333333341</v>
      </c>
    </row>
    <row r="7" spans="2:36" x14ac:dyDescent="0.3">
      <c r="B7" s="8"/>
      <c r="C7" s="8"/>
    </row>
    <row r="8" spans="2:36" x14ac:dyDescent="0.3">
      <c r="B8" s="7" t="s">
        <v>4</v>
      </c>
      <c r="C8" s="7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6" t="s">
        <v>6</v>
      </c>
      <c r="C10" s="6">
        <v>46</v>
      </c>
    </row>
    <row r="11" spans="2:36" x14ac:dyDescent="0.3">
      <c r="B11" s="8"/>
      <c r="C11" s="8"/>
      <c r="E11" s="10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7" t="s">
        <v>13</v>
      </c>
      <c r="C12" s="7">
        <v>300</v>
      </c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2:36" x14ac:dyDescent="0.3">
      <c r="B13" s="2" t="s">
        <v>14</v>
      </c>
      <c r="C13" s="2">
        <v>100</v>
      </c>
      <c r="E13" s="10" t="s">
        <v>7</v>
      </c>
      <c r="F13" s="12">
        <f>(C18*C15+C10*G13/C5)/(C18+C10/C5)</f>
        <v>20.738847456896387</v>
      </c>
      <c r="G13" s="12">
        <v>20.16239777589368</v>
      </c>
      <c r="H13" s="12">
        <v>19.62529183741243</v>
      </c>
      <c r="I13" s="12">
        <v>19.127605556147408</v>
      </c>
      <c r="J13" s="12">
        <v>18.668265088320432</v>
      </c>
      <c r="K13" s="12">
        <v>18.247445027427808</v>
      </c>
      <c r="L13" s="12">
        <v>17.863062248678375</v>
      </c>
      <c r="M13" s="12">
        <v>17.515391110287592</v>
      </c>
      <c r="N13" s="12">
        <v>17.201509773159263</v>
      </c>
      <c r="O13" s="12">
        <v>16.921792994116217</v>
      </c>
      <c r="P13" s="12">
        <v>16.672707675464764</v>
      </c>
      <c r="Q13" s="12">
        <v>16.4547269554281</v>
      </c>
      <c r="R13" s="12">
        <v>16.263962413833607</v>
      </c>
      <c r="S13" s="12">
        <v>16.100978394480247</v>
      </c>
      <c r="T13" s="12">
        <v>15.961786338390084</v>
      </c>
      <c r="U13" s="12">
        <v>15.847027179242737</v>
      </c>
      <c r="V13" s="12">
        <v>15.752841394107215</v>
      </c>
      <c r="W13" s="12">
        <v>15.679922967051708</v>
      </c>
      <c r="X13" s="12">
        <v>15.62472687896874</v>
      </c>
      <c r="Y13" s="12">
        <v>15.587967517135716</v>
      </c>
      <c r="Z13" s="12">
        <v>15.566547766132814</v>
      </c>
      <c r="AA13" s="12">
        <v>15.561162095040801</v>
      </c>
      <c r="AB13" s="12">
        <v>15.569243458817519</v>
      </c>
      <c r="AC13" s="12">
        <v>15.591421493810833</v>
      </c>
      <c r="AD13" s="12">
        <v>15.625698424639275</v>
      </c>
      <c r="AE13" s="12">
        <v>15.672593965671251</v>
      </c>
      <c r="AF13" s="12">
        <v>15.730688721062048</v>
      </c>
      <c r="AG13" s="12">
        <v>15.800352344802437</v>
      </c>
      <c r="AH13" s="12">
        <v>15.88073711373813</v>
      </c>
      <c r="AI13" s="12">
        <v>15.972032419941918</v>
      </c>
      <c r="AJ13" s="12">
        <f>(C19*C16+C10*AI13/C5)/(C18+C10/C5)</f>
        <v>16.073952327838438</v>
      </c>
    </row>
    <row r="15" spans="2:36" x14ac:dyDescent="0.3">
      <c r="B15" s="13" t="s">
        <v>15</v>
      </c>
      <c r="C15" s="9">
        <v>873</v>
      </c>
      <c r="E15" t="s">
        <v>9</v>
      </c>
      <c r="G15">
        <f>G13+(($C$10*$C$5)/($C$9*$C$8))*((H13-2*G13+F13)/($C$4^2))</f>
        <v>20.182069647154407</v>
      </c>
      <c r="H15">
        <f t="shared" ref="H15:AI15" si="1">H13+(($C$10*$C$5)/($C$9*$C$8))*((I13-2*H13+G13)/($C$4^2))</f>
        <v>19.645001666020544</v>
      </c>
      <c r="I15">
        <f t="shared" si="1"/>
        <v>19.146778462866429</v>
      </c>
      <c r="J15">
        <f t="shared" si="1"/>
        <v>18.687525291787608</v>
      </c>
      <c r="K15">
        <f t="shared" si="1"/>
        <v>18.265663668499403</v>
      </c>
      <c r="L15">
        <f t="shared" si="1"/>
        <v>17.881418068857698</v>
      </c>
      <c r="M15">
        <f t="shared" si="1"/>
        <v>17.532286010918817</v>
      </c>
      <c r="N15">
        <f t="shared" si="1"/>
        <v>17.218592052201906</v>
      </c>
      <c r="O15">
        <f t="shared" si="1"/>
        <v>16.937108724312012</v>
      </c>
      <c r="P15">
        <f t="shared" si="1"/>
        <v>16.688259974772159</v>
      </c>
      <c r="Q15">
        <f t="shared" si="1"/>
        <v>16.468335044649187</v>
      </c>
      <c r="R15">
        <f t="shared" si="1"/>
        <v>16.277852674954175</v>
      </c>
      <c r="S15">
        <f t="shared" si="1"/>
        <v>16.112874376111847</v>
      </c>
      <c r="T15">
        <f t="shared" si="1"/>
        <v>15.974002786861492</v>
      </c>
      <c r="U15">
        <f t="shared" si="1"/>
        <v>15.857313866248649</v>
      </c>
      <c r="V15">
        <f t="shared" si="1"/>
        <v>15.763475073147223</v>
      </c>
      <c r="W15">
        <f t="shared" si="1"/>
        <v>15.688784136537977</v>
      </c>
      <c r="X15">
        <f t="shared" si="1"/>
        <v>15.633945242093713</v>
      </c>
      <c r="Y15">
        <f t="shared" si="1"/>
        <v>15.595637322550777</v>
      </c>
      <c r="Z15">
        <f t="shared" si="1"/>
        <v>15.574564806088258</v>
      </c>
      <c r="AA15">
        <f t="shared" si="1"/>
        <v>15.567895612475166</v>
      </c>
      <c r="AB15">
        <f t="shared" si="1"/>
        <v>15.576291794425817</v>
      </c>
      <c r="AC15">
        <f t="shared" si="1"/>
        <v>15.597470941728396</v>
      </c>
      <c r="AD15">
        <f t="shared" si="1"/>
        <v>15.632007729741041</v>
      </c>
      <c r="AE15">
        <f t="shared" si="1"/>
        <v>15.678193572850661</v>
      </c>
      <c r="AF15">
        <f t="shared" si="1"/>
        <v>15.736473155236844</v>
      </c>
      <c r="AG15">
        <f t="shared" si="1"/>
        <v>15.80571291740009</v>
      </c>
      <c r="AH15">
        <f t="shared" si="1"/>
        <v>15.886192382372178</v>
      </c>
      <c r="AI15">
        <f t="shared" si="1"/>
        <v>15.977344720788285</v>
      </c>
    </row>
    <row r="16" spans="2:36" x14ac:dyDescent="0.3">
      <c r="B16" s="13" t="s">
        <v>16</v>
      </c>
      <c r="C16" s="9">
        <v>373</v>
      </c>
    </row>
    <row r="18" spans="2:3" x14ac:dyDescent="0.3">
      <c r="B18" s="14" t="s">
        <v>17</v>
      </c>
      <c r="C18" s="9">
        <v>7.1800000000000003E-2</v>
      </c>
    </row>
    <row r="19" spans="2:3" x14ac:dyDescent="0.3">
      <c r="B19" s="2" t="s">
        <v>18</v>
      </c>
      <c r="C19" s="9">
        <v>3.2099999999999997E-2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Усл. 1-го рода</vt:lpstr>
      <vt:lpstr>Усл. 2-го рода</vt:lpstr>
      <vt:lpstr>Усл. 3-го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Юрий Автонеев</dc:creator>
  <cp:lastModifiedBy>Юрий Автонеев</cp:lastModifiedBy>
  <dcterms:created xsi:type="dcterms:W3CDTF">2021-09-23T17:59:51Z</dcterms:created>
  <dcterms:modified xsi:type="dcterms:W3CDTF">2021-10-11T19:43:26Z</dcterms:modified>
</cp:coreProperties>
</file>